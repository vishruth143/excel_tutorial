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vambruthJavagal\Desktop\"/>
    </mc:Choice>
  </mc:AlternateContent>
  <xr:revisionPtr revIDLastSave="0" documentId="13_ncr:1_{7451E460-9EF8-48CF-8152-FDF53D6FAD06}" xr6:coauthVersionLast="47" xr6:coauthVersionMax="47" xr10:uidLastSave="{00000000-0000-0000-0000-000000000000}"/>
  <bookViews>
    <workbookView xWindow="-80" yWindow="-80" windowWidth="19360" windowHeight="10240" xr2:uid="{1FF13B48-F28D-4917-BE12-167E91B2855B}"/>
  </bookViews>
  <sheets>
    <sheet name="Dashboard" sheetId="1" r:id="rId1"/>
    <sheet name="📈 Analytics" sheetId="15" r:id="rId2"/>
    <sheet name="January" sheetId="2" r:id="rId3"/>
    <sheet name="February" sheetId="3" r:id="rId4"/>
    <sheet name="March" sheetId="4" r:id="rId5"/>
    <sheet name="April" sheetId="5" r:id="rId6"/>
    <sheet name="May" sheetId="6" r:id="rId7"/>
    <sheet name="June" sheetId="7" r:id="rId8"/>
    <sheet name="July" sheetId="8" r:id="rId9"/>
    <sheet name="August" sheetId="9" r:id="rId10"/>
    <sheet name="September" sheetId="10" r:id="rId11"/>
    <sheet name="October" sheetId="11" r:id="rId12"/>
    <sheet name="November" sheetId="12" r:id="rId13"/>
    <sheet name="December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G4" i="15"/>
  <c r="G5" i="15"/>
  <c r="D4" i="15"/>
  <c r="A4" i="15"/>
  <c r="A5" i="15"/>
  <c r="A6" i="15"/>
  <c r="A7" i="15"/>
  <c r="A8" i="15"/>
  <c r="A9" i="15"/>
  <c r="A10" i="15"/>
  <c r="A11" i="15"/>
  <c r="A12" i="15"/>
  <c r="A13" i="15"/>
  <c r="A14" i="15"/>
  <c r="A15" i="15"/>
  <c r="N16" i="1"/>
  <c r="N17" i="1"/>
  <c r="D5" i="15" s="1"/>
  <c r="N18" i="1"/>
  <c r="D6" i="15" s="1"/>
  <c r="N19" i="1"/>
  <c r="D7" i="15" s="1"/>
  <c r="N20" i="1"/>
  <c r="D8" i="15" s="1"/>
  <c r="N21" i="1"/>
  <c r="D9" i="15" s="1"/>
  <c r="N22" i="1"/>
  <c r="D10" i="15" s="1"/>
  <c r="N23" i="1"/>
  <c r="D11" i="15" s="1"/>
  <c r="N24" i="1"/>
  <c r="D12" i="15" s="1"/>
  <c r="N25" i="1"/>
  <c r="D13" i="15" s="1"/>
  <c r="B36" i="1"/>
  <c r="B35" i="1"/>
  <c r="B34" i="1"/>
  <c r="B33" i="1"/>
  <c r="B32" i="1"/>
  <c r="B31" i="1"/>
  <c r="B30" i="1"/>
  <c r="B29" i="1"/>
  <c r="B28" i="1"/>
  <c r="B27" i="1"/>
  <c r="A5" i="13"/>
  <c r="A6" i="13"/>
  <c r="A7" i="13"/>
  <c r="A8" i="13"/>
  <c r="A9" i="13"/>
  <c r="A10" i="13"/>
  <c r="A11" i="13"/>
  <c r="A12" i="13"/>
  <c r="A13" i="13"/>
  <c r="A14" i="13"/>
  <c r="A5" i="12"/>
  <c r="A6" i="12"/>
  <c r="A7" i="12"/>
  <c r="A8" i="12"/>
  <c r="A9" i="12"/>
  <c r="A10" i="12"/>
  <c r="A11" i="12"/>
  <c r="A12" i="12"/>
  <c r="A13" i="12"/>
  <c r="A14" i="12"/>
  <c r="A5" i="11"/>
  <c r="A6" i="11"/>
  <c r="A7" i="11"/>
  <c r="A8" i="11"/>
  <c r="A9" i="11"/>
  <c r="A10" i="11"/>
  <c r="A11" i="11"/>
  <c r="A12" i="11"/>
  <c r="A13" i="11"/>
  <c r="A14" i="11"/>
  <c r="A5" i="10"/>
  <c r="A6" i="10"/>
  <c r="A7" i="10"/>
  <c r="A8" i="10"/>
  <c r="A9" i="10"/>
  <c r="A10" i="10"/>
  <c r="A11" i="10"/>
  <c r="A12" i="10"/>
  <c r="A13" i="10"/>
  <c r="A14" i="10"/>
  <c r="A5" i="9"/>
  <c r="A6" i="9"/>
  <c r="A7" i="9"/>
  <c r="A8" i="9"/>
  <c r="A9" i="9"/>
  <c r="A10" i="9"/>
  <c r="A11" i="9"/>
  <c r="A12" i="9"/>
  <c r="A13" i="9"/>
  <c r="A14" i="9"/>
  <c r="A5" i="8"/>
  <c r="A6" i="8"/>
  <c r="A7" i="8"/>
  <c r="A8" i="8"/>
  <c r="A9" i="8"/>
  <c r="A10" i="8"/>
  <c r="A11" i="8"/>
  <c r="A12" i="8"/>
  <c r="A13" i="8"/>
  <c r="A14" i="8"/>
  <c r="A5" i="7"/>
  <c r="A6" i="7"/>
  <c r="A7" i="7"/>
  <c r="A8" i="7"/>
  <c r="A9" i="7"/>
  <c r="A10" i="7"/>
  <c r="A11" i="7"/>
  <c r="A12" i="7"/>
  <c r="A13" i="7"/>
  <c r="A14" i="7"/>
  <c r="A5" i="6"/>
  <c r="A6" i="6"/>
  <c r="A7" i="6"/>
  <c r="A8" i="6"/>
  <c r="A9" i="6"/>
  <c r="A10" i="6"/>
  <c r="A11" i="6"/>
  <c r="A12" i="6"/>
  <c r="A13" i="6"/>
  <c r="A14" i="6"/>
  <c r="A5" i="5"/>
  <c r="A6" i="5"/>
  <c r="A7" i="5"/>
  <c r="A8" i="5"/>
  <c r="A9" i="5"/>
  <c r="A10" i="5"/>
  <c r="A11" i="5"/>
  <c r="A12" i="5"/>
  <c r="A13" i="5"/>
  <c r="A14" i="5"/>
  <c r="A5" i="4"/>
  <c r="A6" i="4"/>
  <c r="A7" i="4"/>
  <c r="A8" i="4"/>
  <c r="A9" i="4"/>
  <c r="A10" i="4"/>
  <c r="A11" i="4"/>
  <c r="A12" i="4"/>
  <c r="A13" i="4"/>
  <c r="A14" i="4"/>
  <c r="A5" i="3"/>
  <c r="A6" i="3"/>
  <c r="A7" i="3"/>
  <c r="A8" i="3"/>
  <c r="A9" i="3"/>
  <c r="A10" i="3"/>
  <c r="A11" i="3"/>
  <c r="A12" i="3"/>
  <c r="A13" i="3"/>
  <c r="A14" i="3"/>
  <c r="AG14" i="13"/>
  <c r="AI14" i="13" s="1"/>
  <c r="AG13" i="13"/>
  <c r="AI13" i="13" s="1"/>
  <c r="AG12" i="13"/>
  <c r="AI12" i="13" s="1"/>
  <c r="AG11" i="13"/>
  <c r="AI11" i="13" s="1"/>
  <c r="AG10" i="13"/>
  <c r="AI10" i="13" s="1"/>
  <c r="AG9" i="13"/>
  <c r="AI9" i="13" s="1"/>
  <c r="AG8" i="13"/>
  <c r="AI8" i="13" s="1"/>
  <c r="AG7" i="13"/>
  <c r="AI7" i="13" s="1"/>
  <c r="AG6" i="13"/>
  <c r="AI6" i="13" s="1"/>
  <c r="AG5" i="13"/>
  <c r="A1" i="13"/>
  <c r="AF14" i="12"/>
  <c r="AH14" i="12" s="1"/>
  <c r="AF13" i="12"/>
  <c r="AH13" i="12" s="1"/>
  <c r="AF12" i="12"/>
  <c r="AH12" i="12" s="1"/>
  <c r="AF11" i="12"/>
  <c r="AH11" i="12" s="1"/>
  <c r="AF10" i="12"/>
  <c r="AH10" i="12" s="1"/>
  <c r="AF9" i="12"/>
  <c r="AH9" i="12" s="1"/>
  <c r="AF8" i="12"/>
  <c r="AH8" i="12" s="1"/>
  <c r="AF7" i="12"/>
  <c r="AH7" i="12" s="1"/>
  <c r="AF6" i="12"/>
  <c r="AH6" i="12" s="1"/>
  <c r="AF5" i="12"/>
  <c r="A1" i="12"/>
  <c r="AG14" i="11"/>
  <c r="AI14" i="11" s="1"/>
  <c r="AG13" i="11"/>
  <c r="AI13" i="11" s="1"/>
  <c r="AG12" i="11"/>
  <c r="AI12" i="11" s="1"/>
  <c r="AG11" i="11"/>
  <c r="AI11" i="11" s="1"/>
  <c r="AG10" i="11"/>
  <c r="AI10" i="11" s="1"/>
  <c r="AG9" i="11"/>
  <c r="AI9" i="11" s="1"/>
  <c r="AG8" i="11"/>
  <c r="AI8" i="11" s="1"/>
  <c r="AG7" i="11"/>
  <c r="AI7" i="11" s="1"/>
  <c r="AG6" i="11"/>
  <c r="AI6" i="11" s="1"/>
  <c r="AG5" i="11"/>
  <c r="AI5" i="11" s="1"/>
  <c r="A1" i="11"/>
  <c r="AF14" i="10"/>
  <c r="AH14" i="10" s="1"/>
  <c r="AF13" i="10"/>
  <c r="AH13" i="10" s="1"/>
  <c r="AF12" i="10"/>
  <c r="AH12" i="10" s="1"/>
  <c r="AF11" i="10"/>
  <c r="AH11" i="10" s="1"/>
  <c r="AF10" i="10"/>
  <c r="AH10" i="10" s="1"/>
  <c r="AF9" i="10"/>
  <c r="AH9" i="10" s="1"/>
  <c r="AF8" i="10"/>
  <c r="AH8" i="10" s="1"/>
  <c r="AF7" i="10"/>
  <c r="AH7" i="10" s="1"/>
  <c r="AF6" i="10"/>
  <c r="AH6" i="10" s="1"/>
  <c r="AF5" i="10"/>
  <c r="A1" i="10"/>
  <c r="AG14" i="9"/>
  <c r="AI14" i="9" s="1"/>
  <c r="AG13" i="9"/>
  <c r="AI13" i="9" s="1"/>
  <c r="AG12" i="9"/>
  <c r="AI12" i="9" s="1"/>
  <c r="AG11" i="9"/>
  <c r="AI11" i="9" s="1"/>
  <c r="AG10" i="9"/>
  <c r="AI10" i="9" s="1"/>
  <c r="AG9" i="9"/>
  <c r="AI9" i="9" s="1"/>
  <c r="AG8" i="9"/>
  <c r="AI8" i="9" s="1"/>
  <c r="AG7" i="9"/>
  <c r="AI7" i="9" s="1"/>
  <c r="AG6" i="9"/>
  <c r="AI6" i="9" s="1"/>
  <c r="AG5" i="9"/>
  <c r="AI5" i="9" s="1"/>
  <c r="A1" i="9"/>
  <c r="AG14" i="8"/>
  <c r="AI14" i="8" s="1"/>
  <c r="AG13" i="8"/>
  <c r="AI13" i="8" s="1"/>
  <c r="AG12" i="8"/>
  <c r="AI12" i="8" s="1"/>
  <c r="AG11" i="8"/>
  <c r="AI11" i="8" s="1"/>
  <c r="AG10" i="8"/>
  <c r="AI10" i="8" s="1"/>
  <c r="AG9" i="8"/>
  <c r="AI9" i="8" s="1"/>
  <c r="AG8" i="8"/>
  <c r="AI8" i="8" s="1"/>
  <c r="AG7" i="8"/>
  <c r="AI7" i="8" s="1"/>
  <c r="AG6" i="8"/>
  <c r="AI6" i="8" s="1"/>
  <c r="AG5" i="8"/>
  <c r="A1" i="8"/>
  <c r="AF14" i="7"/>
  <c r="AH14" i="7" s="1"/>
  <c r="AF13" i="7"/>
  <c r="AH13" i="7" s="1"/>
  <c r="AF12" i="7"/>
  <c r="AH12" i="7" s="1"/>
  <c r="AF11" i="7"/>
  <c r="AH11" i="7" s="1"/>
  <c r="AF10" i="7"/>
  <c r="AH10" i="7" s="1"/>
  <c r="AF9" i="7"/>
  <c r="AH9" i="7" s="1"/>
  <c r="AF8" i="7"/>
  <c r="AH8" i="7" s="1"/>
  <c r="AF7" i="7"/>
  <c r="AH7" i="7" s="1"/>
  <c r="AF6" i="7"/>
  <c r="AH6" i="7" s="1"/>
  <c r="AF5" i="7"/>
  <c r="AH5" i="7" s="1"/>
  <c r="A1" i="7"/>
  <c r="AG14" i="6"/>
  <c r="AI14" i="6" s="1"/>
  <c r="AG13" i="6"/>
  <c r="AI13" i="6" s="1"/>
  <c r="AG12" i="6"/>
  <c r="AI12" i="6" s="1"/>
  <c r="AG11" i="6"/>
  <c r="AI11" i="6" s="1"/>
  <c r="AG10" i="6"/>
  <c r="AI10" i="6" s="1"/>
  <c r="AG9" i="6"/>
  <c r="AI9" i="6" s="1"/>
  <c r="AG8" i="6"/>
  <c r="AI8" i="6" s="1"/>
  <c r="AG7" i="6"/>
  <c r="AI7" i="6" s="1"/>
  <c r="AG6" i="6"/>
  <c r="AI6" i="6" s="1"/>
  <c r="AG5" i="6"/>
  <c r="AI5" i="6" s="1"/>
  <c r="A1" i="6"/>
  <c r="AF14" i="5"/>
  <c r="AH14" i="5" s="1"/>
  <c r="AF13" i="5"/>
  <c r="AH13" i="5" s="1"/>
  <c r="AF12" i="5"/>
  <c r="AH12" i="5" s="1"/>
  <c r="AF11" i="5"/>
  <c r="AH11" i="5" s="1"/>
  <c r="AF10" i="5"/>
  <c r="AH10" i="5" s="1"/>
  <c r="AF9" i="5"/>
  <c r="AH9" i="5" s="1"/>
  <c r="AF8" i="5"/>
  <c r="AH8" i="5" s="1"/>
  <c r="AF7" i="5"/>
  <c r="AH7" i="5" s="1"/>
  <c r="AF6" i="5"/>
  <c r="AH6" i="5" s="1"/>
  <c r="AF5" i="5"/>
  <c r="AH5" i="5" s="1"/>
  <c r="A1" i="5"/>
  <c r="AG14" i="4"/>
  <c r="AI14" i="4" s="1"/>
  <c r="AG13" i="4"/>
  <c r="AI13" i="4" s="1"/>
  <c r="AG12" i="4"/>
  <c r="AI12" i="4" s="1"/>
  <c r="AG11" i="4"/>
  <c r="AI11" i="4" s="1"/>
  <c r="AG10" i="4"/>
  <c r="AI10" i="4" s="1"/>
  <c r="AG9" i="4"/>
  <c r="AI9" i="4" s="1"/>
  <c r="AG8" i="4"/>
  <c r="AI8" i="4" s="1"/>
  <c r="AG7" i="4"/>
  <c r="AI7" i="4" s="1"/>
  <c r="AG6" i="4"/>
  <c r="AI6" i="4" s="1"/>
  <c r="AG5" i="4"/>
  <c r="A1" i="4"/>
  <c r="AD14" i="3"/>
  <c r="AF14" i="3" s="1"/>
  <c r="AD13" i="3"/>
  <c r="AF13" i="3" s="1"/>
  <c r="AD12" i="3"/>
  <c r="AF12" i="3" s="1"/>
  <c r="AD11" i="3"/>
  <c r="AF11" i="3" s="1"/>
  <c r="AD10" i="3"/>
  <c r="AF10" i="3" s="1"/>
  <c r="AD9" i="3"/>
  <c r="AF9" i="3" s="1"/>
  <c r="AD8" i="3"/>
  <c r="AF8" i="3" s="1"/>
  <c r="AD7" i="3"/>
  <c r="AF7" i="3" s="1"/>
  <c r="AD6" i="3"/>
  <c r="AF6" i="3" s="1"/>
  <c r="AD5" i="3"/>
  <c r="A1" i="3"/>
  <c r="AG14" i="2"/>
  <c r="AI14" i="2" s="1"/>
  <c r="AG13" i="2"/>
  <c r="AI13" i="2" s="1"/>
  <c r="AG12" i="2"/>
  <c r="AI12" i="2" s="1"/>
  <c r="AG11" i="2"/>
  <c r="AI11" i="2" s="1"/>
  <c r="AG10" i="2"/>
  <c r="AI10" i="2" s="1"/>
  <c r="AG9" i="2"/>
  <c r="AI9" i="2" s="1"/>
  <c r="AG8" i="2"/>
  <c r="AI8" i="2" s="1"/>
  <c r="AG7" i="2"/>
  <c r="AI7" i="2" s="1"/>
  <c r="AG6" i="2"/>
  <c r="AI6" i="2" s="1"/>
  <c r="AG5" i="2"/>
  <c r="A1" i="2"/>
  <c r="A19" i="10" l="1"/>
  <c r="A19" i="12"/>
  <c r="AH5" i="12"/>
  <c r="E19" i="12" s="1"/>
  <c r="A19" i="2"/>
  <c r="A19" i="4"/>
  <c r="A19" i="13"/>
  <c r="A19" i="11"/>
  <c r="D21" i="1"/>
  <c r="O9" i="1"/>
  <c r="B11" i="15" s="1"/>
  <c r="A19" i="9"/>
  <c r="A19" i="8"/>
  <c r="AI5" i="13"/>
  <c r="O11" i="1"/>
  <c r="B13" i="15" s="1"/>
  <c r="E19" i="11"/>
  <c r="I19" i="11"/>
  <c r="AH5" i="10"/>
  <c r="E19" i="9"/>
  <c r="I19" i="9"/>
  <c r="J17" i="1"/>
  <c r="AI5" i="8"/>
  <c r="D17" i="1"/>
  <c r="O7" i="1"/>
  <c r="B9" i="15" s="1"/>
  <c r="I19" i="7"/>
  <c r="E19" i="7"/>
  <c r="A19" i="7"/>
  <c r="I19" i="6"/>
  <c r="E19" i="6"/>
  <c r="A17" i="1"/>
  <c r="O6" i="1"/>
  <c r="B8" i="15" s="1"/>
  <c r="A19" i="6"/>
  <c r="O5" i="1"/>
  <c r="B7" i="15" s="1"/>
  <c r="I19" i="5"/>
  <c r="J13" i="1"/>
  <c r="E19" i="5"/>
  <c r="A19" i="5"/>
  <c r="D7" i="1"/>
  <c r="AI5" i="4"/>
  <c r="A19" i="3"/>
  <c r="AF5" i="3"/>
  <c r="H28" i="1"/>
  <c r="E28" i="1"/>
  <c r="O17" i="1"/>
  <c r="E5" i="15" s="1"/>
  <c r="O19" i="1"/>
  <c r="E7" i="15" s="1"/>
  <c r="H30" i="1"/>
  <c r="E30" i="1"/>
  <c r="H36" i="1"/>
  <c r="E36" i="1"/>
  <c r="O25" i="1"/>
  <c r="E13" i="15" s="1"/>
  <c r="O21" i="1"/>
  <c r="E9" i="15" s="1"/>
  <c r="H32" i="1"/>
  <c r="E32" i="1"/>
  <c r="E29" i="1"/>
  <c r="O18" i="1"/>
  <c r="E6" i="15" s="1"/>
  <c r="H29" i="1"/>
  <c r="H31" i="1"/>
  <c r="E31" i="1"/>
  <c r="O20" i="1"/>
  <c r="E8" i="15" s="1"/>
  <c r="H33" i="1"/>
  <c r="E33" i="1"/>
  <c r="O22" i="1"/>
  <c r="E10" i="15" s="1"/>
  <c r="H34" i="1"/>
  <c r="O23" i="1"/>
  <c r="E11" i="15" s="1"/>
  <c r="E34" i="1"/>
  <c r="O24" i="1"/>
  <c r="E12" i="15" s="1"/>
  <c r="H35" i="1"/>
  <c r="E35" i="1"/>
  <c r="AI5" i="2"/>
  <c r="O28" i="1" l="1"/>
  <c r="H5" i="15" s="1"/>
  <c r="O27" i="1"/>
  <c r="H4" i="15" s="1"/>
  <c r="O12" i="1"/>
  <c r="B14" i="15" s="1"/>
  <c r="G21" i="1"/>
  <c r="I19" i="12"/>
  <c r="I19" i="13"/>
  <c r="J21" i="1"/>
  <c r="O13" i="1"/>
  <c r="B15" i="15" s="1"/>
  <c r="E19" i="13"/>
  <c r="O10" i="1"/>
  <c r="B12" i="15" s="1"/>
  <c r="A21" i="1"/>
  <c r="I19" i="10"/>
  <c r="E19" i="10"/>
  <c r="I19" i="8"/>
  <c r="G17" i="1"/>
  <c r="O8" i="1"/>
  <c r="B10" i="15" s="1"/>
  <c r="E19" i="8"/>
  <c r="O4" i="1"/>
  <c r="B6" i="15" s="1"/>
  <c r="G13" i="1"/>
  <c r="I19" i="4"/>
  <c r="E19" i="4"/>
  <c r="I19" i="3"/>
  <c r="A7" i="1"/>
  <c r="E19" i="3"/>
  <c r="D13" i="1"/>
  <c r="O3" i="1"/>
  <c r="O16" i="1"/>
  <c r="E4" i="15" s="1"/>
  <c r="A13" i="1"/>
  <c r="I19" i="2"/>
  <c r="E19" i="2"/>
  <c r="H27" i="1"/>
  <c r="O2" i="1"/>
  <c r="B4" i="15" s="1"/>
  <c r="E27" i="1"/>
  <c r="G7" i="1" l="1"/>
  <c r="B5" i="15"/>
</calcChain>
</file>

<file path=xl/sharedStrings.xml><?xml version="1.0" encoding="utf-8"?>
<sst xmlns="http://schemas.openxmlformats.org/spreadsheetml/2006/main" count="207" uniqueCount="86">
  <si>
    <t>Track your daily habits and build a better you! ✨</t>
  </si>
  <si>
    <t>HABIT</t>
  </si>
  <si>
    <t>DONE</t>
  </si>
  <si>
    <t>GOAL</t>
  </si>
  <si>
    <t>PROGRESS</t>
  </si>
  <si>
    <t>💧 Drink 8 Glasses Water</t>
  </si>
  <si>
    <t>🏃 Exercise 30 Minutes</t>
  </si>
  <si>
    <t>🧘 Meditate 10 Minutes</t>
  </si>
  <si>
    <t>😴 Sleep Before 11 PM</t>
  </si>
  <si>
    <t>🥗 Eat Healthy Meals</t>
  </si>
  <si>
    <t>📝 Daily Journaling</t>
  </si>
  <si>
    <t>💪 Workout Routine</t>
  </si>
  <si>
    <t>🎨 Creative Activity</t>
  </si>
  <si>
    <t>🏆 TOTAL COMPLETED</t>
  </si>
  <si>
    <t>📈 AVG COMPLETION</t>
  </si>
  <si>
    <t>⭐ PERFECT HABITS</t>
  </si>
  <si>
    <t>🚫 Reduce Social Media</t>
  </si>
  <si>
    <t>📆 JANUARY</t>
  </si>
  <si>
    <t>Avg Completion</t>
  </si>
  <si>
    <t>📆 FEBRUARY</t>
  </si>
  <si>
    <t>📆 MARCH</t>
  </si>
  <si>
    <t>📆 APRIL</t>
  </si>
  <si>
    <t>📆 MAY</t>
  </si>
  <si>
    <t>📆 JUNE</t>
  </si>
  <si>
    <t>📆 JULY</t>
  </si>
  <si>
    <t>📆 AUGUST</t>
  </si>
  <si>
    <t>📆 SEPTEMBER</t>
  </si>
  <si>
    <t>📆 OCTOBER</t>
  </si>
  <si>
    <t>📆 NOVEMBER</t>
  </si>
  <si>
    <t>📆 DECEMBER</t>
  </si>
  <si>
    <t>📊 MONTHLY DASHBOARD</t>
  </si>
  <si>
    <t>📚 Read 3 Pages</t>
  </si>
  <si>
    <t>🎯 HABIT TRACKER 2026 - COMMAND CENTER 🎯</t>
  </si>
  <si>
    <t>✨ Transform Your Life One Day at a Time ✨</t>
  </si>
  <si>
    <t>📊 KEY PERFORMANCE INDICATORS</t>
  </si>
  <si>
    <t>🏆</t>
  </si>
  <si>
    <t>YEARLY SUCCESS</t>
  </si>
  <si>
    <t>Completion Rate</t>
  </si>
  <si>
    <t>✅</t>
  </si>
  <si>
    <t>🔥</t>
  </si>
  <si>
    <t>BEST MONTH</t>
  </si>
  <si>
    <t>Top Performer</t>
  </si>
  <si>
    <t>⭐</t>
  </si>
  <si>
    <t>TOTAL GOALS</t>
  </si>
  <si>
    <t>Yearly Target</t>
  </si>
  <si>
    <t>📅 MONTHLY PROGRESS HEATMAP</t>
  </si>
  <si>
    <t>🏅 HABIT LEADERBOARD - YOUR TOP PERFORMERS</t>
  </si>
  <si>
    <t>RANK</t>
  </si>
  <si>
    <t>YEARLY PROGRESS</t>
  </si>
  <si>
    <t>STATUS</t>
  </si>
  <si>
    <t>TREND</t>
  </si>
  <si>
    <t>🥇 1</t>
  </si>
  <si>
    <t>📈</t>
  </si>
  <si>
    <t>🥈 2</t>
  </si>
  <si>
    <t>🥉 3</t>
  </si>
  <si>
    <t>4️⃣</t>
  </si>
  <si>
    <t>5️⃣</t>
  </si>
  <si>
    <t>6️⃣</t>
  </si>
  <si>
    <t>7️⃣</t>
  </si>
  <si>
    <t>8️⃣</t>
  </si>
  <si>
    <t>9️⃣</t>
  </si>
  <si>
    <t>🔟</t>
  </si>
  <si>
    <t>MonthData (helper)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</si>
  <si>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</si>
  <si>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</si>
  <si>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</si>
  <si>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</si>
  <si>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</si>
  <si>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</si>
  <si>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</si>
  <si>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</si>
  <si>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</si>
  <si>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</si>
  <si>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</si>
  <si>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</si>
  <si>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HabitData (helper)</t>
  </si>
  <si>
    <t>Completed</t>
  </si>
  <si>
    <t>Remaining</t>
  </si>
  <si>
    <t>📈 HABIT ANALYTICS &amp; INSIGHTS</t>
  </si>
  <si>
    <t>Month</t>
  </si>
  <si>
    <t>Habit</t>
  </si>
  <si>
    <t>Yearly Avg</t>
  </si>
  <si>
    <t>Status</t>
  </si>
  <si>
    <t>Value</t>
  </si>
  <si>
    <t>Habits Tracked</t>
  </si>
  <si>
    <t>TOTAL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</si>
</sst>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color rgb="FF00B894"/>
      <name val="Aptos Narrow"/>
      <family val="2"/>
      <scheme val="minor"/>
    </font>
    <font>
      <b/>
      <sz val="14"/>
      <color rgb="FF00B894"/>
      <name val="Aptos Narrow"/>
      <family val="2"/>
      <scheme val="minor"/>
    </font>
    <font>
      <b/>
      <sz val="11"/>
      <color rgb="FF0984E3"/>
      <name val="Aptos Narrow"/>
      <family val="2"/>
      <scheme val="minor"/>
    </font>
    <font>
      <b/>
      <sz val="14"/>
      <color rgb="FF0984E3"/>
      <name val="Aptos Narrow"/>
      <family val="2"/>
      <scheme val="minor"/>
    </font>
    <font>
      <b/>
      <sz val="11"/>
      <color rgb="FF6C5CE7"/>
      <name val="Aptos Narrow"/>
      <family val="2"/>
      <scheme val="minor"/>
    </font>
    <font>
      <b/>
      <sz val="14"/>
      <color rgb="FF6C5CE7"/>
      <name val="Aptos Narrow"/>
      <family val="2"/>
      <scheme val="minor"/>
    </font>
    <font>
      <b/>
      <sz val="14"/>
      <color rgb="FF00B894"/>
      <name val="Segoe UI"/>
    </font>
    <font>
      <b/>
      <sz val="14"/>
      <color rgb="FF0984E3"/>
      <name val="Segoe UI"/>
    </font>
    <font>
      <b/>
      <sz val="14"/>
      <color rgb="FF6C5CE7"/>
      <name val="Segoe UI"/>
    </font>
    <font>
      <b/>
      <sz val="18"/>
      <color rgb="FFFFFFFF"/>
      <name val="Segoe UI Black"/>
    </font>
    <font>
      <b/>
      <sz val="16"/>
      <color rgb="FFFFFFFF"/>
      <name val="Segoe UI Black"/>
    </font>
    <font>
      <b/>
      <sz val="12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4"/>
      <color rgb="FF1A202C"/>
      <name val="Segoe UI"/>
    </font>
    <font>
      <sz val="14"/>
      <color rgb="FF1A202C"/>
      <name val="Aptos Narrow"/>
      <family val="2"/>
      <scheme val="minor"/>
    </font>
    <font>
      <b/>
      <sz val="26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1"/>
      <color rgb="FF5A5F7D"/>
      <name val="Aptos Narrow"/>
      <family val="2"/>
      <scheme val="minor"/>
    </font>
    <font>
      <i/>
      <sz val="13"/>
      <color rgb="FFA29BFE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A29BFE"/>
      <name val="Aptos Narrow"/>
      <family val="2"/>
      <scheme val="minor"/>
    </font>
    <font>
      <i/>
      <sz val="9"/>
      <color rgb="FFB8C1EC"/>
      <name val="Aptos Narrow"/>
      <family val="2"/>
      <scheme val="minor"/>
    </font>
    <font>
      <sz val="11"/>
      <color rgb="FF00E5A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2"/>
      <color rgb="FFA29BFE"/>
      <name val="Segoe UI"/>
    </font>
    <font>
      <b/>
      <sz val="11"/>
      <color rgb="FFFFFFFF"/>
      <name val="Segoe UI"/>
    </font>
    <font>
      <i/>
      <sz val="11"/>
      <color rgb="FFA29BFE"/>
      <name val="Aptos Narrow"/>
      <family val="2"/>
      <scheme val="minor"/>
    </font>
    <font>
      <sz val="11"/>
      <color rgb="FF0F1226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FD79A8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A29BFE"/>
        <bgColor indexed="64"/>
      </patternFill>
    </fill>
    <fill>
      <patternFill patternType="solid">
        <fgColor rgb="FFED8936"/>
        <bgColor indexed="64"/>
      </patternFill>
    </fill>
    <fill>
      <patternFill patternType="solid">
        <fgColor rgb="FF48BB78"/>
        <bgColor indexed="64"/>
      </patternFill>
    </fill>
    <fill>
      <patternFill patternType="solid">
        <fgColor rgb="FF9F7AEA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0F1226"/>
        <bgColor indexed="64"/>
      </patternFill>
    </fill>
    <fill>
      <patternFill patternType="solid">
        <fgColor rgb="FF12152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262B4D"/>
        <bgColor indexed="64"/>
      </patternFill>
    </fill>
    <fill>
      <patternFill patternType="solid">
        <fgColor rgb="FF222746"/>
        <bgColor indexed="64"/>
      </patternFill>
    </fill>
    <fill>
      <patternFill patternType="solid">
        <fgColor rgb="FF1A1E3A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2D3436"/>
      </right>
      <top/>
      <bottom/>
      <diagonal/>
    </border>
    <border>
      <left/>
      <right style="medium">
        <color rgb="FFD63031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2D3436"/>
      </bottom>
      <diagonal/>
    </border>
    <border>
      <left/>
      <right style="medium">
        <color rgb="FFE84393"/>
      </right>
      <top/>
      <bottom/>
      <diagonal/>
    </border>
    <border>
      <left/>
      <right style="medium">
        <color rgb="FF00CEC9"/>
      </right>
      <top/>
      <bottom/>
      <diagonal/>
    </border>
    <border>
      <left/>
      <right style="medium">
        <color rgb="FF0652DD"/>
      </right>
      <top/>
      <bottom/>
      <diagonal/>
    </border>
    <border>
      <left/>
      <right style="medium">
        <color rgb="FF5F27CD"/>
      </right>
      <top/>
      <bottom/>
      <diagonal/>
    </border>
    <border>
      <left/>
      <right style="medium">
        <color rgb="FFC44569"/>
      </right>
      <top/>
      <bottom/>
      <diagonal/>
    </border>
    <border>
      <left/>
      <right style="medium">
        <color rgb="FF00B894"/>
      </right>
      <top/>
      <bottom/>
      <diagonal/>
    </border>
    <border>
      <left/>
      <right style="medium">
        <color rgb="FFF39C12"/>
      </right>
      <top/>
      <bottom/>
      <diagonal/>
    </border>
    <border>
      <left/>
      <right style="medium">
        <color rgb="FFC0392B"/>
      </right>
      <top/>
      <bottom/>
      <diagonal/>
    </border>
    <border>
      <left/>
      <right style="medium">
        <color rgb="FFD35400"/>
      </right>
      <top/>
      <bottom/>
      <diagonal/>
    </border>
    <border>
      <left/>
      <right/>
      <top style="thin">
        <color rgb="FF0F1226"/>
      </top>
      <bottom/>
      <diagonal/>
    </border>
    <border>
      <left/>
      <right/>
      <top/>
      <bottom style="thin">
        <color rgb="FF0F1226"/>
      </bottom>
      <diagonal/>
    </border>
    <border>
      <left style="thin">
        <color rgb="FF0F1226"/>
      </left>
      <right/>
      <top style="thin">
        <color rgb="FF0F1226"/>
      </top>
      <bottom/>
      <diagonal/>
    </border>
    <border>
      <left style="thin">
        <color rgb="FF0F1226"/>
      </left>
      <right/>
      <top/>
      <bottom/>
      <diagonal/>
    </border>
    <border>
      <left style="thin">
        <color rgb="FF0F1226"/>
      </left>
      <right/>
      <top/>
      <bottom style="thin">
        <color rgb="FF0F1226"/>
      </bottom>
      <diagonal/>
    </border>
    <border>
      <left/>
      <right style="thin">
        <color rgb="FF0F1226"/>
      </right>
      <top style="thin">
        <color rgb="FF0F1226"/>
      </top>
      <bottom/>
      <diagonal/>
    </border>
    <border>
      <left/>
      <right style="thin">
        <color rgb="FF0F1226"/>
      </right>
      <top/>
      <bottom/>
      <diagonal/>
    </border>
    <border>
      <left/>
      <right style="thin">
        <color rgb="FF0F1226"/>
      </right>
      <top/>
      <bottom style="thin">
        <color rgb="FF0F1226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9" fontId="10" fillId="8" borderId="0" xfId="0" applyNumberFormat="1" applyFont="1" applyFill="1" applyAlignment="1">
      <alignment horizontal="center"/>
    </xf>
    <xf numFmtId="9" fontId="11" fillId="8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9" fontId="14" fillId="8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16" fillId="1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9" fontId="18" fillId="9" borderId="4" xfId="0" applyNumberFormat="1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8" fillId="11" borderId="4" xfId="0" applyFont="1" applyFill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9" fontId="18" fillId="9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0" fontId="0" fillId="13" borderId="0" xfId="0" applyFill="1"/>
    <xf numFmtId="0" fontId="21" fillId="14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8" fillId="17" borderId="0" xfId="0" applyFont="1" applyFill="1" applyAlignment="1">
      <alignment horizontal="center" vertical="center"/>
    </xf>
    <xf numFmtId="9" fontId="18" fillId="13" borderId="0" xfId="0" applyNumberFormat="1" applyFont="1" applyFill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22" fillId="18" borderId="0" xfId="0" applyFont="1" applyFill="1" applyAlignment="1">
      <alignment vertical="center"/>
    </xf>
    <xf numFmtId="0" fontId="17" fillId="18" borderId="0" xfId="0" applyFont="1" applyFill="1" applyAlignment="1">
      <alignment horizontal="center" vertical="center"/>
    </xf>
    <xf numFmtId="0" fontId="22" fillId="18" borderId="0" xfId="0" applyFont="1" applyFill="1" applyAlignment="1">
      <alignment vertical="center"/>
    </xf>
    <xf numFmtId="0" fontId="23" fillId="18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22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22" fillId="19" borderId="0" xfId="0" applyFont="1" applyFill="1" applyAlignment="1">
      <alignment vertical="center"/>
    </xf>
    <xf numFmtId="0" fontId="17" fillId="19" borderId="0" xfId="0" applyFont="1" applyFill="1" applyAlignment="1">
      <alignment horizontal="center" vertical="center"/>
    </xf>
    <xf numFmtId="0" fontId="22" fillId="19" borderId="0" xfId="0" applyFont="1" applyFill="1" applyAlignment="1">
      <alignment vertical="center"/>
    </xf>
    <xf numFmtId="0" fontId="23" fillId="19" borderId="0" xfId="0" applyFont="1" applyFill="1" applyAlignment="1">
      <alignment horizontal="left" vertical="center"/>
    </xf>
    <xf numFmtId="0" fontId="30" fillId="19" borderId="0" xfId="0" applyFont="1" applyFill="1" applyAlignment="1">
      <alignment horizontal="left" vertical="center"/>
    </xf>
    <xf numFmtId="0" fontId="22" fillId="19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24" fillId="13" borderId="0" xfId="0" applyFont="1" applyFill="1"/>
    <xf numFmtId="9" fontId="24" fillId="13" borderId="0" xfId="0" applyNumberFormat="1" applyFont="1" applyFill="1"/>
    <xf numFmtId="0" fontId="15" fillId="14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33" fillId="1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4" fillId="19" borderId="2" xfId="0" applyFont="1" applyFill="1" applyBorder="1"/>
    <xf numFmtId="0" fontId="0" fillId="14" borderId="0" xfId="0" applyFill="1"/>
    <xf numFmtId="0" fontId="34" fillId="19" borderId="5" xfId="0" applyFont="1" applyFill="1" applyBorder="1"/>
    <xf numFmtId="0" fontId="34" fillId="19" borderId="6" xfId="0" applyFont="1" applyFill="1" applyBorder="1"/>
    <xf numFmtId="0" fontId="34" fillId="19" borderId="7" xfId="0" applyFont="1" applyFill="1" applyBorder="1"/>
    <xf numFmtId="0" fontId="34" fillId="19" borderId="8" xfId="0" applyFont="1" applyFill="1" applyBorder="1"/>
    <xf numFmtId="0" fontId="34" fillId="19" borderId="9" xfId="0" applyFont="1" applyFill="1" applyBorder="1"/>
    <xf numFmtId="0" fontId="34" fillId="19" borderId="10" xfId="0" applyFont="1" applyFill="1" applyBorder="1"/>
    <xf numFmtId="0" fontId="34" fillId="19" borderId="11" xfId="0" applyFont="1" applyFill="1" applyBorder="1"/>
    <xf numFmtId="0" fontId="34" fillId="19" borderId="12" xfId="0" applyFont="1" applyFill="1" applyBorder="1"/>
    <xf numFmtId="0" fontId="34" fillId="19" borderId="13" xfId="0" applyFont="1" applyFill="1" applyBorder="1"/>
    <xf numFmtId="0" fontId="34" fillId="19" borderId="1" xfId="0" applyFont="1" applyFill="1" applyBorder="1"/>
    <xf numFmtId="0" fontId="35" fillId="14" borderId="0" xfId="0" applyFont="1" applyFill="1" applyAlignment="1">
      <alignment horizontal="center"/>
    </xf>
    <xf numFmtId="0" fontId="1" fillId="19" borderId="0" xfId="0" applyFont="1" applyFill="1"/>
    <xf numFmtId="0" fontId="1" fillId="4" borderId="14" xfId="0" applyFont="1" applyFill="1" applyBorder="1" applyAlignment="1">
      <alignment vertical="center"/>
    </xf>
    <xf numFmtId="0" fontId="22" fillId="4" borderId="14" xfId="0" applyFont="1" applyFill="1" applyBorder="1"/>
    <xf numFmtId="9" fontId="26" fillId="0" borderId="0" xfId="0" applyNumberFormat="1" applyFont="1" applyBorder="1" applyAlignment="1">
      <alignment horizontal="center" vertical="center"/>
    </xf>
    <xf numFmtId="0" fontId="22" fillId="4" borderId="0" xfId="0" applyFont="1" applyFill="1" applyBorder="1"/>
    <xf numFmtId="0" fontId="27" fillId="0" borderId="15" xfId="0" applyFont="1" applyBorder="1" applyAlignment="1">
      <alignment horizontal="center" vertical="center"/>
    </xf>
    <xf numFmtId="0" fontId="22" fillId="4" borderId="15" xfId="0" applyFont="1" applyFill="1" applyBorder="1"/>
    <xf numFmtId="0" fontId="4" fillId="4" borderId="16" xfId="0" applyFont="1" applyFill="1" applyBorder="1" applyAlignment="1">
      <alignment horizontal="center" vertical="center"/>
    </xf>
    <xf numFmtId="9" fontId="26" fillId="0" borderId="17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vertical="center"/>
    </xf>
    <xf numFmtId="0" fontId="22" fillId="15" borderId="14" xfId="0" applyFont="1" applyFill="1" applyBorder="1"/>
    <xf numFmtId="3" fontId="26" fillId="0" borderId="17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2" fillId="15" borderId="0" xfId="0" applyFont="1" applyFill="1" applyBorder="1"/>
    <xf numFmtId="0" fontId="22" fillId="15" borderId="15" xfId="0" applyFont="1" applyFill="1" applyBorder="1"/>
    <xf numFmtId="0" fontId="4" fillId="5" borderId="16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vertical="center"/>
    </xf>
    <xf numFmtId="0" fontId="22" fillId="5" borderId="14" xfId="0" applyFont="1" applyFill="1" applyBorder="1"/>
    <xf numFmtId="0" fontId="26" fillId="0" borderId="17" xfId="0" applyFont="1" applyBorder="1" applyAlignment="1">
      <alignment horizontal="center" vertical="center"/>
    </xf>
    <xf numFmtId="0" fontId="22" fillId="5" borderId="0" xfId="0" applyFont="1" applyFill="1" applyBorder="1"/>
    <xf numFmtId="0" fontId="22" fillId="5" borderId="15" xfId="0" applyFont="1" applyFill="1" applyBorder="1"/>
    <xf numFmtId="0" fontId="4" fillId="16" borderId="16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vertical="center"/>
    </xf>
    <xf numFmtId="0" fontId="22" fillId="16" borderId="19" xfId="0" applyFont="1" applyFill="1" applyBorder="1"/>
    <xf numFmtId="0" fontId="22" fillId="16" borderId="20" xfId="0" applyFont="1" applyFill="1" applyBorder="1"/>
    <xf numFmtId="0" fontId="22" fillId="16" borderId="21" xfId="0" applyFont="1" applyFill="1" applyBorder="1"/>
    <xf numFmtId="0" fontId="36" fillId="13" borderId="0" xfId="0" applyFont="1" applyFill="1"/>
  </cellXfs>
  <cellStyles count="1">
    <cellStyle name="Normal" xfId="0" builtinId="0"/>
  </cellStyles>
  <dxfs count="25"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65F46"/>
      </font>
      <fill>
        <patternFill patternType="solid">
          <fgColor indexed="64"/>
          <bgColor rgb="FF34D399"/>
        </patternFill>
      </fill>
    </dxf>
    <dxf>
      <font>
        <color rgb="FF0B2818"/>
      </font>
      <fill>
        <patternFill patternType="solid">
          <fgColor indexed="64"/>
          <bgColor rgb="FF34D399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  <dxf>
      <font>
        <b/>
        <i val="0"/>
        <color rgb="FFFFFFFF"/>
      </font>
      <fill>
        <patternFill patternType="solid">
          <fgColor indexed="64"/>
          <bgColor rgb="FF00B8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📅 Monthly Completion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A29BF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'📈 Analytics'!$A$4:$A$15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'📈 Analytics'!$B$4:$B$15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9-41B5-890F-E1C613F85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702896"/>
        <c:axId val="811703376"/>
      </c:lineChart>
      <c:catAx>
        <c:axId val="8117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C1E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03376"/>
        <c:crosses val="autoZero"/>
        <c:auto val="1"/>
        <c:lblAlgn val="ctr"/>
        <c:lblOffset val="100"/>
        <c:noMultiLvlLbl val="0"/>
      </c:catAx>
      <c:valAx>
        <c:axId val="8117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C1E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0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🏅 Yearly Performance by Habit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894"/>
            </a:solidFill>
            <a:ln>
              <a:noFill/>
            </a:ln>
            <a:effectLst/>
          </c:spPr>
          <c:invertIfNegative val="0"/>
          <c:cat>
            <c:strRef>
              <c:f>'📈 Analytics'!$D$4:$D$13</c:f>
              <c:strCache>
                <c:ptCount val="10"/>
                <c:pt idx="0">
                  <c:v>💧 Drink 8 Glasses Water</c:v>
                </c:pt>
                <c:pt idx="1">
                  <c:v>🏃 Exercise 30 Minutes</c:v>
                </c:pt>
                <c:pt idx="2">
                  <c:v>📚 Read 3 Pages</c:v>
                </c:pt>
                <c:pt idx="3">
                  <c:v>🧘 Meditate 10 Minutes</c:v>
                </c:pt>
                <c:pt idx="4">
                  <c:v>😴 Sleep Before 11 PM</c:v>
                </c:pt>
                <c:pt idx="5">
                  <c:v>🥗 Eat Healthy Meals</c:v>
                </c:pt>
                <c:pt idx="6">
                  <c:v>📝 Daily Journaling</c:v>
                </c:pt>
                <c:pt idx="7">
                  <c:v>🚫 Reduce Social Media</c:v>
                </c:pt>
                <c:pt idx="8">
                  <c:v>💪 Workout Routine</c:v>
                </c:pt>
                <c:pt idx="9">
                  <c:v>🎨 Creative Activity</c:v>
                </c:pt>
              </c:strCache>
            </c:strRef>
          </c:cat>
          <c:val>
            <c:numRef>
              <c:f>'📈 Analytics'!$E$4:$E$13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7-487A-9E89-BBAA55BAC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698096"/>
        <c:axId val="811698576"/>
      </c:barChart>
      <c:catAx>
        <c:axId val="81169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C1E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98576"/>
        <c:crosses val="autoZero"/>
        <c:auto val="1"/>
        <c:lblAlgn val="ctr"/>
        <c:lblOffset val="100"/>
        <c:noMultiLvlLbl val="0"/>
      </c:catAx>
      <c:valAx>
        <c:axId val="81169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B8C1E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9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✅ Completed vs Remaining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E5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3-4E88-8E20-7C6A014191EB}"/>
              </c:ext>
            </c:extLst>
          </c:dPt>
          <c:dPt>
            <c:idx val="1"/>
            <c:bubble3D val="0"/>
            <c:spPr>
              <a:solidFill>
                <a:srgbClr val="2D35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723-4E88-8E20-7C6A014191EB}"/>
              </c:ext>
            </c:extLst>
          </c:dPt>
          <c:cat>
            <c:strRef>
              <c:f>'📈 Analytics'!$G$4:$G$5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'📈 Analytics'!$H$4:$H$5</c:f>
              <c:numCache>
                <c:formatCode>General</c:formatCode>
                <c:ptCount val="2"/>
                <c:pt idx="0">
                  <c:v>0</c:v>
                </c:pt>
                <c:pt idx="1">
                  <c:v>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3-4E88-8E20-7C6A01419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B8C1E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MonthlyTrend">
          <a:extLst>
            <a:ext uri="{FF2B5EF4-FFF2-40B4-BE49-F238E27FC236}">
              <a16:creationId xmlns:a16="http://schemas.microsoft.com/office/drawing/2014/main" id="{C6AE11EF-F550-C52F-6344-9B773DB15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3" name="HabitComparison">
          <a:extLst>
            <a:ext uri="{FF2B5EF4-FFF2-40B4-BE49-F238E27FC236}">
              <a16:creationId xmlns:a16="http://schemas.microsoft.com/office/drawing/2014/main" id="{3D83B1A5-0D7D-BC94-1811-513DD4696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18</xdr:col>
      <xdr:colOff>12700</xdr:colOff>
      <xdr:row>17</xdr:row>
      <xdr:rowOff>0</xdr:rowOff>
    </xdr:to>
    <xdr:graphicFrame macro="">
      <xdr:nvGraphicFramePr>
        <xdr:cNvPr id="4" name="CompletionDonut">
          <a:extLst>
            <a:ext uri="{FF2B5EF4-FFF2-40B4-BE49-F238E27FC236}">
              <a16:creationId xmlns:a16="http://schemas.microsoft.com/office/drawing/2014/main" id="{957392D3-DC43-C4AE-3037-CAD0A9C59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6DE0-E7CD-49B3-8A01-2CF3E57D0001}">
  <dimension ref="A1:O40"/>
  <sheetViews>
    <sheetView showGridLines="0" tabSelected="1" zoomScale="50" zoomScaleNormal="50" workbookViewId="0">
      <pane ySplit="2" topLeftCell="A3" activePane="bottomLeft" state="frozen"/>
      <selection activeCell="M1" sqref="M1"/>
      <selection pane="bottomLeft" activeCell="A3" sqref="A3"/>
    </sheetView>
  </sheetViews>
  <sheetFormatPr defaultRowHeight="15" x14ac:dyDescent="0.25"/>
  <cols>
    <col min="1" max="2" width="13.28515625" customWidth="1"/>
    <col min="3" max="3" width="2.28515625" customWidth="1"/>
    <col min="4" max="5" width="13.28515625" customWidth="1"/>
    <col min="6" max="6" width="2.28515625" customWidth="1"/>
    <col min="7" max="8" width="13.28515625" customWidth="1"/>
    <col min="9" max="9" width="2.28515625" customWidth="1"/>
    <col min="10" max="12" width="13.28515625" customWidth="1"/>
    <col min="14" max="15" width="0" style="103" hidden="1" customWidth="1"/>
  </cols>
  <sheetData>
    <row r="1" spans="1:15" ht="45.95" customHeight="1" x14ac:dyDescent="0.25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N1" s="103" t="s">
        <v>62</v>
      </c>
    </row>
    <row r="2" spans="1:15" ht="24" customHeight="1" x14ac:dyDescent="0.25">
      <c r="A2" s="29" t="s">
        <v>33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N2" s="103" t="s">
        <v>63</v>
      </c>
      <c r="O2" s="103">
        <f>IFERROR(AVERAGE(January!AI5:AI14),0)</f>
        <v>0</v>
      </c>
    </row>
    <row r="3" spans="1:15" ht="9.9499999999999993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N3" s="103" t="s">
        <v>64</v>
      </c>
      <c r="O3" s="103">
        <f>IFERROR(AVERAGE(February!AF5:AF14),0)</f>
        <v>0</v>
      </c>
    </row>
    <row r="4" spans="1:15" ht="30" customHeight="1" x14ac:dyDescent="0.25">
      <c r="A4" s="30" t="s">
        <v>34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N4" s="103" t="s">
        <v>65</v>
      </c>
      <c r="O4" s="103">
        <f>IFERROR(AVERAGE(March!AI5:AI14),0)</f>
        <v>0</v>
      </c>
    </row>
    <row r="5" spans="1:15" ht="9.949999999999999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N5" s="103" t="s">
        <v>66</v>
      </c>
      <c r="O5" s="103">
        <f>IFERROR(AVERAGE(April!AH5:AH14),0)</f>
        <v>0</v>
      </c>
    </row>
    <row r="6" spans="1:15" ht="30" customHeight="1" x14ac:dyDescent="0.25">
      <c r="A6" s="82" t="s">
        <v>35</v>
      </c>
      <c r="B6" s="76" t="s">
        <v>36</v>
      </c>
      <c r="C6" s="77"/>
      <c r="D6" s="85" t="s">
        <v>38</v>
      </c>
      <c r="E6" s="86" t="s">
        <v>85</v>
      </c>
      <c r="F6" s="87"/>
      <c r="G6" s="92" t="s">
        <v>39</v>
      </c>
      <c r="H6" s="93" t="s">
        <v>40</v>
      </c>
      <c r="I6" s="94"/>
      <c r="J6" s="98" t="s">
        <v>42</v>
      </c>
      <c r="K6" s="99" t="s">
        <v>43</v>
      </c>
      <c r="L6" s="100"/>
      <c r="N6" s="103" t="s">
        <v>67</v>
      </c>
      <c r="O6" s="103">
        <f>IFERROR(AVERAGE(May!AI5:AI14),0)</f>
        <v>0</v>
      </c>
    </row>
    <row r="7" spans="1:15" ht="39.950000000000003" customHeight="1" x14ac:dyDescent="0.25">
      <c r="A7" s="83">
        <f>IFERROR(AVERAGE(January!AI5:AI14,February!AF5:AF14,March!AI5:AI14,April!AH5:AH14,May!AI5:AI14,June!AH5:AH14,July!AI5:AI14,August!AI5:AI14,September!AH5:AH14,October!AI5:AI14,November!AH5:AH14,December!AI5:AI14),0)</f>
        <v>0</v>
      </c>
      <c r="B7" s="78"/>
      <c r="C7" s="79"/>
      <c r="D7" s="88">
        <f>SUM(January!AG5:AG14,February!AD5:AD14,March!AG5:AG14,April!AF5:AF14,May!AG5:AG14,June!AF5:AF14,July!AG5:AG14,August!AG5:AG14,September!AF5:AF14,October!AG5:AG14,November!AF5:AF14,December!AG5:AG14)</f>
        <v>0</v>
      </c>
      <c r="E7" s="89"/>
      <c r="F7" s="90"/>
      <c r="G7" s="95" t="str">
        <f>INDEX(N2:N13,MATCH(MAX(O2:O13),O2:O13,0))</f>
        <v>January</v>
      </c>
      <c r="H7" s="89"/>
      <c r="I7" s="96"/>
      <c r="J7" s="88">
        <f>SUM(January!AH5:AH14,February!AE5:AE14,March!AH5:AH14,April!AG5:AG14,May!AH5:AH14,June!AG5:AG14,July!AH5:AH14,August!AH5:AH14,September!AG5:AG14,October!AH5:AH14,November!AG5:AG14,December!AH5:AH14)</f>
        <v>2987</v>
      </c>
      <c r="K7" s="89"/>
      <c r="L7" s="101"/>
      <c r="N7" s="103" t="s">
        <v>68</v>
      </c>
      <c r="O7" s="103">
        <f>IFERROR(AVERAGE(June!AH5:AH14),0)</f>
        <v>0</v>
      </c>
    </row>
    <row r="8" spans="1:15" ht="24" customHeight="1" x14ac:dyDescent="0.25">
      <c r="A8" s="84" t="s">
        <v>37</v>
      </c>
      <c r="B8" s="80"/>
      <c r="C8" s="81"/>
      <c r="D8" s="84" t="s">
        <v>84</v>
      </c>
      <c r="E8" s="80"/>
      <c r="F8" s="91"/>
      <c r="G8" s="84" t="s">
        <v>41</v>
      </c>
      <c r="H8" s="80"/>
      <c r="I8" s="97"/>
      <c r="J8" s="84" t="s">
        <v>44</v>
      </c>
      <c r="K8" s="80"/>
      <c r="L8" s="102"/>
      <c r="N8" s="103" t="s">
        <v>69</v>
      </c>
      <c r="O8" s="103">
        <f>IFERROR(AVERAGE(July!AI5:AI14),0)</f>
        <v>0</v>
      </c>
    </row>
    <row r="9" spans="1:15" ht="14.1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N9" s="103" t="s">
        <v>70</v>
      </c>
      <c r="O9" s="103">
        <f>IFERROR(AVERAGE(August!AI5:AI14),0)</f>
        <v>0</v>
      </c>
    </row>
    <row r="10" spans="1:15" ht="30" customHeight="1" x14ac:dyDescent="0.25">
      <c r="A10" s="30" t="s">
        <v>45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N10" s="103" t="s">
        <v>71</v>
      </c>
      <c r="O10" s="103">
        <f>IFERROR(AVERAGE(September!AH5:AH14),0)</f>
        <v>0</v>
      </c>
    </row>
    <row r="11" spans="1:15" ht="8.1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N11" s="103" t="s">
        <v>72</v>
      </c>
      <c r="O11" s="103">
        <f>IFERROR(AVERAGE(October!AI5:AI14),0)</f>
        <v>0</v>
      </c>
    </row>
    <row r="12" spans="1:15" ht="24" customHeight="1" x14ac:dyDescent="0.25">
      <c r="A12" s="32" t="s">
        <v>17</v>
      </c>
      <c r="B12" s="32"/>
      <c r="C12" s="32"/>
      <c r="D12" s="32" t="s">
        <v>19</v>
      </c>
      <c r="E12" s="32"/>
      <c r="F12" s="32"/>
      <c r="G12" s="32" t="s">
        <v>20</v>
      </c>
      <c r="H12" s="32"/>
      <c r="I12" s="32"/>
      <c r="J12" s="32" t="s">
        <v>21</v>
      </c>
      <c r="K12" s="32"/>
      <c r="L12" s="32"/>
      <c r="N12" s="103" t="s">
        <v>73</v>
      </c>
      <c r="O12" s="103">
        <f>IFERROR(AVERAGE(November!AH5:AH14),0)</f>
        <v>0</v>
      </c>
    </row>
    <row r="13" spans="1:15" ht="38.1" customHeight="1" x14ac:dyDescent="0.25">
      <c r="A13" s="33">
        <f>IFERROR(AVERAGE(January!AI5:AI14),"0%")</f>
        <v>0</v>
      </c>
      <c r="B13" s="33"/>
      <c r="C13" s="33"/>
      <c r="D13" s="33">
        <f>IFERROR(AVERAGE(February!AF5:AF14),"0%")</f>
        <v>0</v>
      </c>
      <c r="E13" s="33"/>
      <c r="F13" s="33"/>
      <c r="G13" s="33">
        <f>IFERROR(AVERAGE(March!AI5:AI14),"0%")</f>
        <v>0</v>
      </c>
      <c r="H13" s="33"/>
      <c r="I13" s="33"/>
      <c r="J13" s="33">
        <f>IFERROR(AVERAGE(April!AH5:AH14),"0%")</f>
        <v>0</v>
      </c>
      <c r="K13" s="33"/>
      <c r="L13" s="33"/>
      <c r="N13" s="103" t="s">
        <v>74</v>
      </c>
      <c r="O13" s="103">
        <f>IFERROR(AVERAGE(December!AI5:AI14),0)</f>
        <v>0</v>
      </c>
    </row>
    <row r="14" spans="1:15" ht="20.100000000000001" customHeight="1" x14ac:dyDescent="0.25">
      <c r="A14" s="34" t="s">
        <v>18</v>
      </c>
      <c r="B14" s="34"/>
      <c r="C14" s="34"/>
      <c r="D14" s="34" t="s">
        <v>18</v>
      </c>
      <c r="E14" s="34"/>
      <c r="F14" s="34"/>
      <c r="G14" s="34" t="s">
        <v>18</v>
      </c>
      <c r="H14" s="34"/>
      <c r="I14" s="34"/>
      <c r="J14" s="34" t="s">
        <v>18</v>
      </c>
      <c r="K14" s="34"/>
      <c r="L14" s="34"/>
    </row>
    <row r="15" spans="1:15" ht="8.1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N15" s="103" t="s">
        <v>75</v>
      </c>
    </row>
    <row r="16" spans="1:15" ht="24" customHeight="1" x14ac:dyDescent="0.25">
      <c r="A16" s="32" t="s">
        <v>22</v>
      </c>
      <c r="B16" s="32"/>
      <c r="C16" s="32"/>
      <c r="D16" s="32" t="s">
        <v>23</v>
      </c>
      <c r="E16" s="32"/>
      <c r="F16" s="32"/>
      <c r="G16" s="32" t="s">
        <v>24</v>
      </c>
      <c r="H16" s="32"/>
      <c r="I16" s="32"/>
      <c r="J16" s="32" t="s">
        <v>25</v>
      </c>
      <c r="K16" s="32"/>
      <c r="L16" s="32"/>
      <c r="N16" s="103" t="str">
        <f>January!A5</f>
        <v>💧 Drink 8 Glasses Water</v>
      </c>
      <c r="O16" s="103">
        <f>IFERROR(AVERAGE(January!AI5,February!AF5,March!AI5,April!AH5,May!AI5,June!AH5,July!AI5,August!AI5,September!AH5,October!AI5,November!AH5,December!AI5),0)</f>
        <v>0</v>
      </c>
    </row>
    <row r="17" spans="1:15" ht="38.1" customHeight="1" x14ac:dyDescent="0.25">
      <c r="A17" s="33">
        <f>IFERROR(AVERAGE(May!AI5:AI14),"0%")</f>
        <v>0</v>
      </c>
      <c r="B17" s="33"/>
      <c r="C17" s="33"/>
      <c r="D17" s="33">
        <f>IFERROR(AVERAGE(June!AH5:AH14),"0%")</f>
        <v>0</v>
      </c>
      <c r="E17" s="33"/>
      <c r="F17" s="33"/>
      <c r="G17" s="33">
        <f>IFERROR(AVERAGE(July!AI5:AI14),"0%")</f>
        <v>0</v>
      </c>
      <c r="H17" s="33"/>
      <c r="I17" s="33"/>
      <c r="J17" s="33">
        <f>IFERROR(AVERAGE(August!AI5:AI14),"0%")</f>
        <v>0</v>
      </c>
      <c r="K17" s="33"/>
      <c r="L17" s="33"/>
      <c r="N17" s="103" t="str">
        <f>January!A6</f>
        <v>🏃 Exercise 30 Minutes</v>
      </c>
      <c r="O17" s="103">
        <f>IFERROR(AVERAGE(January!AI6,February!AF6,March!AI6,April!AH6,May!AI6,June!AH6,July!AI6,August!AI6,September!AH6,October!AI6,November!AH6,December!AI6),0)</f>
        <v>0</v>
      </c>
    </row>
    <row r="18" spans="1:15" ht="20.100000000000001" customHeight="1" x14ac:dyDescent="0.25">
      <c r="A18" s="34" t="s">
        <v>18</v>
      </c>
      <c r="B18" s="34"/>
      <c r="C18" s="34"/>
      <c r="D18" s="34" t="s">
        <v>18</v>
      </c>
      <c r="E18" s="34"/>
      <c r="F18" s="34"/>
      <c r="G18" s="34" t="s">
        <v>18</v>
      </c>
      <c r="H18" s="34"/>
      <c r="I18" s="34"/>
      <c r="J18" s="34" t="s">
        <v>18</v>
      </c>
      <c r="K18" s="34"/>
      <c r="L18" s="34"/>
      <c r="N18" s="103" t="str">
        <f>January!A7</f>
        <v>📚 Read 3 Pages</v>
      </c>
      <c r="O18" s="103">
        <f>IFERROR(AVERAGE(January!AI7,February!AF7,March!AI7,April!AH7,May!AI7,June!AH7,July!AI7,August!AI7,September!AH7,October!AI7,November!AH7,December!AI7),0)</f>
        <v>0</v>
      </c>
    </row>
    <row r="19" spans="1:15" ht="8.1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N19" s="103" t="str">
        <f>January!A8</f>
        <v>🧘 Meditate 10 Minutes</v>
      </c>
      <c r="O19" s="103">
        <f>IFERROR(AVERAGE(January!AI8,February!AF8,March!AI8,April!AH8,May!AI8,June!AH8,July!AI8,August!AI8,September!AH8,October!AI8,November!AH8,December!AI8),0)</f>
        <v>0</v>
      </c>
    </row>
    <row r="20" spans="1:15" ht="24" customHeight="1" x14ac:dyDescent="0.25">
      <c r="A20" s="32" t="s">
        <v>26</v>
      </c>
      <c r="B20" s="32"/>
      <c r="C20" s="32"/>
      <c r="D20" s="32" t="s">
        <v>27</v>
      </c>
      <c r="E20" s="32"/>
      <c r="F20" s="32"/>
      <c r="G20" s="32" t="s">
        <v>28</v>
      </c>
      <c r="H20" s="32"/>
      <c r="I20" s="32"/>
      <c r="J20" s="32" t="s">
        <v>29</v>
      </c>
      <c r="K20" s="32"/>
      <c r="L20" s="32"/>
      <c r="N20" s="103" t="str">
        <f>January!A9</f>
        <v>😴 Sleep Before 11 PM</v>
      </c>
      <c r="O20" s="103">
        <f>IFERROR(AVERAGE(January!AI9,February!AF9,March!AI9,April!AH9,May!AI9,June!AH9,July!AI9,August!AI9,September!AH9,October!AI9,November!AH9,December!AI9),0)</f>
        <v>0</v>
      </c>
    </row>
    <row r="21" spans="1:15" ht="38.1" customHeight="1" x14ac:dyDescent="0.25">
      <c r="A21" s="33">
        <f>IFERROR(AVERAGE(September!AH5:AH14),"0%")</f>
        <v>0</v>
      </c>
      <c r="B21" s="33"/>
      <c r="C21" s="33"/>
      <c r="D21" s="33">
        <f>IFERROR(AVERAGE(October!AI5:AI14),"0%")</f>
        <v>0</v>
      </c>
      <c r="E21" s="33"/>
      <c r="F21" s="33"/>
      <c r="G21" s="33">
        <f>IFERROR(AVERAGE(November!AH5:AH14),"0%")</f>
        <v>0</v>
      </c>
      <c r="H21" s="33"/>
      <c r="I21" s="33"/>
      <c r="J21" s="33">
        <f>IFERROR(AVERAGE(December!AI5:AI14),"0%")</f>
        <v>0</v>
      </c>
      <c r="K21" s="33"/>
      <c r="L21" s="33"/>
      <c r="N21" s="103" t="str">
        <f>January!A10</f>
        <v>🥗 Eat Healthy Meals</v>
      </c>
      <c r="O21" s="103">
        <f>IFERROR(AVERAGE(January!AI10,February!AF10,March!AI10,April!AH10,May!AI10,June!AH10,July!AI10,August!AI10,September!AH10,October!AI10,November!AH10,December!AI10),0)</f>
        <v>0</v>
      </c>
    </row>
    <row r="22" spans="1:15" ht="20.100000000000001" customHeight="1" x14ac:dyDescent="0.25">
      <c r="A22" s="34" t="s">
        <v>18</v>
      </c>
      <c r="B22" s="34"/>
      <c r="C22" s="34"/>
      <c r="D22" s="34" t="s">
        <v>18</v>
      </c>
      <c r="E22" s="34"/>
      <c r="F22" s="34"/>
      <c r="G22" s="34" t="s">
        <v>18</v>
      </c>
      <c r="H22" s="34"/>
      <c r="I22" s="34"/>
      <c r="J22" s="34" t="s">
        <v>18</v>
      </c>
      <c r="K22" s="34"/>
      <c r="L22" s="34"/>
      <c r="N22" s="103" t="str">
        <f>January!A11</f>
        <v>📝 Daily Journaling</v>
      </c>
      <c r="O22" s="103">
        <f>IFERROR(AVERAGE(January!AI11,February!AF11,March!AI11,April!AH11,May!AI11,June!AH11,July!AI11,August!AI11,September!AH11,October!AI11,November!AH11,December!AI11),0)</f>
        <v>0</v>
      </c>
    </row>
    <row r="23" spans="1:15" ht="14.1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N23" s="103" t="str">
        <f>January!A12</f>
        <v>🚫 Reduce Social Media</v>
      </c>
      <c r="O23" s="103">
        <f>IFERROR(AVERAGE(January!AI12,February!AF12,March!AI12,April!AH12,May!AI12,June!AH12,July!AI12,August!AI12,September!AH12,October!AI12,November!AH12,December!AI12),0)</f>
        <v>0</v>
      </c>
    </row>
    <row r="24" spans="1:15" ht="30" customHeight="1" x14ac:dyDescent="0.25">
      <c r="A24" s="30" t="s">
        <v>46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N24" s="103" t="str">
        <f>January!A13</f>
        <v>💪 Workout Routine</v>
      </c>
      <c r="O24" s="103">
        <f>IFERROR(AVERAGE(January!AI13,February!AF13,March!AI13,April!AH13,May!AI13,June!AH13,July!AI13,August!AI13,September!AH13,October!AI13,November!AH13,December!AI13),0)</f>
        <v>0</v>
      </c>
    </row>
    <row r="25" spans="1:15" ht="8.1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N25" s="103" t="str">
        <f>January!A14</f>
        <v>🎨 Creative Activity</v>
      </c>
      <c r="O25" s="103">
        <f>IFERROR(AVERAGE(January!AI14,February!AF14,March!AI14,April!AH14,May!AI14,June!AH14,July!AI14,August!AI14,September!AH14,October!AI14,November!AH14,December!AI14),0)</f>
        <v>0</v>
      </c>
    </row>
    <row r="26" spans="1:15" ht="26.1" customHeight="1" x14ac:dyDescent="0.25">
      <c r="A26" s="35" t="s">
        <v>47</v>
      </c>
      <c r="B26" s="36" t="s">
        <v>1</v>
      </c>
      <c r="C26" s="36"/>
      <c r="D26" s="36"/>
      <c r="E26" s="36" t="s">
        <v>48</v>
      </c>
      <c r="F26" s="36"/>
      <c r="G26" s="36"/>
      <c r="H26" s="36" t="s">
        <v>49</v>
      </c>
      <c r="I26" s="36"/>
      <c r="J26" s="36" t="s">
        <v>50</v>
      </c>
      <c r="K26" s="36"/>
      <c r="L26" s="35"/>
    </row>
    <row r="27" spans="1:15" ht="24" customHeight="1" x14ac:dyDescent="0.25">
      <c r="A27" s="38" t="s">
        <v>51</v>
      </c>
      <c r="B27" s="40" t="str">
        <f>January!A5</f>
        <v>💧 Drink 8 Glasses Water</v>
      </c>
      <c r="C27" s="39"/>
      <c r="D27" s="39"/>
      <c r="E27" s="41" t="str">
        <f>REPT("█",ROUND(IFERROR(AVERAGE(January!AI5,March!AI5,May!AI5,July!AI5,August!AI5,October!AI5,December!AI5)*10,0),0))&amp;REPT("░",10-ROUND(IFERROR(AVERAGE(January!AI5,March!AI5,May!AI5,July!AI5,August!AI5,October!AI5,December!AI5)*10,0),0))</f>
        <v>░░░░░░░░░░</v>
      </c>
      <c r="F27" s="39"/>
      <c r="G27" s="39"/>
      <c r="H27" s="43" t="str">
        <f>IF(IFERROR(AVERAGE(January!AI5,March!AI5),"0")&gt;=0.8,"⭐ STAR",IF(IFERROR(AVERAGE(January!AI5,March!AI5),"0")&gt;=0.5,"✅ GOOD","🔄 IMPROVE"))</f>
        <v>🔄 IMPROVE</v>
      </c>
      <c r="I27" s="42"/>
      <c r="J27" s="44" t="s">
        <v>52</v>
      </c>
      <c r="K27" s="42"/>
      <c r="L27" s="37"/>
      <c r="N27" s="103" t="s">
        <v>76</v>
      </c>
      <c r="O27" s="103">
        <f>Dashboard!D7</f>
        <v>0</v>
      </c>
    </row>
    <row r="28" spans="1:15" ht="24" customHeight="1" x14ac:dyDescent="0.25">
      <c r="A28" s="46" t="s">
        <v>53</v>
      </c>
      <c r="B28" s="48" t="str">
        <f>January!A6</f>
        <v>🏃 Exercise 30 Minutes</v>
      </c>
      <c r="C28" s="47"/>
      <c r="D28" s="47"/>
      <c r="E28" s="49" t="str">
        <f>REPT("█",ROUND(IFERROR(AVERAGE(January!AI6,March!AI6,May!AI6,July!AI6,August!AI6,October!AI6,December!AI6)*10,0),0))&amp;REPT("░",10-ROUND(IFERROR(AVERAGE(January!AI6,March!AI6,May!AI6,July!AI6,August!AI6,October!AI6,December!AI6)*10,0),0))</f>
        <v>░░░░░░░░░░</v>
      </c>
      <c r="F28" s="47"/>
      <c r="G28" s="47"/>
      <c r="H28" s="51" t="str">
        <f>IF(IFERROR(AVERAGE(January!AI6,March!AI6),"0")&gt;=0.8,"⭐ STAR",IF(IFERROR(AVERAGE(January!AI6,March!AI6),"0")&gt;=0.5,"✅ GOOD","🔄 IMPROVE"))</f>
        <v>🔄 IMPROVE</v>
      </c>
      <c r="I28" s="50"/>
      <c r="J28" s="52" t="s">
        <v>52</v>
      </c>
      <c r="K28" s="50"/>
      <c r="L28" s="45"/>
      <c r="N28" s="103" t="s">
        <v>77</v>
      </c>
      <c r="O28" s="103">
        <f>MAX(Dashboard!J7-Dashboard!D7,0)</f>
        <v>2987</v>
      </c>
    </row>
    <row r="29" spans="1:15" ht="24" customHeight="1" x14ac:dyDescent="0.25">
      <c r="A29" s="38" t="s">
        <v>54</v>
      </c>
      <c r="B29" s="40" t="str">
        <f>January!A7</f>
        <v>📚 Read 3 Pages</v>
      </c>
      <c r="C29" s="39"/>
      <c r="D29" s="39"/>
      <c r="E29" s="41" t="str">
        <f>REPT("█",ROUND(IFERROR(AVERAGE(January!AI7,March!AI7,May!AI7,July!AI7,August!AI7,October!AI7,December!AI7)*10,0),0))&amp;REPT("░",10-ROUND(IFERROR(AVERAGE(January!AI7,March!AI7,May!AI7,July!AI7,August!AI7,October!AI7,December!AI7)*10,0),0))</f>
        <v>░░░░░░░░░░</v>
      </c>
      <c r="F29" s="39"/>
      <c r="G29" s="39"/>
      <c r="H29" s="43" t="str">
        <f>IF(IFERROR(AVERAGE(January!AI7,March!AI7),"0")&gt;=0.8,"⭐ STAR",IF(IFERROR(AVERAGE(January!AI7,March!AI7),"0")&gt;=0.5,"✅ GOOD","🔄 IMPROVE"))</f>
        <v>🔄 IMPROVE</v>
      </c>
      <c r="I29" s="42"/>
      <c r="J29" s="44" t="s">
        <v>52</v>
      </c>
      <c r="K29" s="42"/>
      <c r="L29" s="37"/>
    </row>
    <row r="30" spans="1:15" ht="24" customHeight="1" x14ac:dyDescent="0.25">
      <c r="A30" s="46" t="s">
        <v>55</v>
      </c>
      <c r="B30" s="48" t="str">
        <f>January!A8</f>
        <v>🧘 Meditate 10 Minutes</v>
      </c>
      <c r="C30" s="47"/>
      <c r="D30" s="47"/>
      <c r="E30" s="49" t="str">
        <f>REPT("█",ROUND(IFERROR(AVERAGE(January!AI8,March!AI8,May!AI8,July!AI8,August!AI8,October!AI8,December!AI8)*10,0),0))&amp;REPT("░",10-ROUND(IFERROR(AVERAGE(January!AI8,March!AI8,May!AI8,July!AI8,August!AI8,October!AI8,December!AI8)*10,0),0))</f>
        <v>░░░░░░░░░░</v>
      </c>
      <c r="F30" s="47"/>
      <c r="G30" s="47"/>
      <c r="H30" s="51" t="str">
        <f>IF(IFERROR(AVERAGE(January!AI8,March!AI8),"0")&gt;=0.8,"⭐ STAR",IF(IFERROR(AVERAGE(January!AI8,March!AI8),"0")&gt;=0.5,"✅ GOOD","🔄 IMPROVE"))</f>
        <v>🔄 IMPROVE</v>
      </c>
      <c r="I30" s="50"/>
      <c r="J30" s="52" t="s">
        <v>52</v>
      </c>
      <c r="K30" s="50"/>
      <c r="L30" s="45"/>
    </row>
    <row r="31" spans="1:15" ht="24" customHeight="1" x14ac:dyDescent="0.25">
      <c r="A31" s="38" t="s">
        <v>56</v>
      </c>
      <c r="B31" s="40" t="str">
        <f>January!A9</f>
        <v>😴 Sleep Before 11 PM</v>
      </c>
      <c r="C31" s="39"/>
      <c r="D31" s="39"/>
      <c r="E31" s="41" t="str">
        <f>REPT("█",ROUND(IFERROR(AVERAGE(January!AI9,March!AI9,May!AI9,July!AI9,August!AI9,October!AI9,December!AI9)*10,0),0))&amp;REPT("░",10-ROUND(IFERROR(AVERAGE(January!AI9,March!AI9,May!AI9,July!AI9,August!AI9,October!AI9,December!AI9)*10,0),0))</f>
        <v>░░░░░░░░░░</v>
      </c>
      <c r="F31" s="39"/>
      <c r="G31" s="39"/>
      <c r="H31" s="43" t="str">
        <f>IF(IFERROR(AVERAGE(January!AI9,March!AI9),"0")&gt;=0.8,"⭐ STAR",IF(IFERROR(AVERAGE(January!AI9,March!AI9),"0")&gt;=0.5,"✅ GOOD","🔄 IMPROVE"))</f>
        <v>🔄 IMPROVE</v>
      </c>
      <c r="I31" s="42"/>
      <c r="J31" s="44" t="s">
        <v>52</v>
      </c>
      <c r="K31" s="42"/>
      <c r="L31" s="37"/>
    </row>
    <row r="32" spans="1:15" ht="24" customHeight="1" x14ac:dyDescent="0.25">
      <c r="A32" s="46" t="s">
        <v>57</v>
      </c>
      <c r="B32" s="48" t="str">
        <f>January!A10</f>
        <v>🥗 Eat Healthy Meals</v>
      </c>
      <c r="C32" s="47"/>
      <c r="D32" s="47"/>
      <c r="E32" s="49" t="str">
        <f>REPT("█",ROUND(IFERROR(AVERAGE(January!AI10,March!AI10,May!AI10,July!AI10,August!AI10,October!AI10,December!AI10)*10,0),0))&amp;REPT("░",10-ROUND(IFERROR(AVERAGE(January!AI10,March!AI10,May!AI10,July!AI10,August!AI10,October!AI10,December!AI10)*10,0),0))</f>
        <v>░░░░░░░░░░</v>
      </c>
      <c r="F32" s="47"/>
      <c r="G32" s="47"/>
      <c r="H32" s="51" t="str">
        <f>IF(IFERROR(AVERAGE(January!AI10,March!AI10),"0")&gt;=0.8,"⭐ STAR",IF(IFERROR(AVERAGE(January!AI10,March!AI10),"0")&gt;=0.5,"✅ GOOD","🔄 IMPROVE"))</f>
        <v>🔄 IMPROVE</v>
      </c>
      <c r="I32" s="50"/>
      <c r="J32" s="52" t="s">
        <v>52</v>
      </c>
      <c r="K32" s="50"/>
      <c r="L32" s="45"/>
    </row>
    <row r="33" spans="1:12" ht="24" customHeight="1" x14ac:dyDescent="0.25">
      <c r="A33" s="38" t="s">
        <v>58</v>
      </c>
      <c r="B33" s="40" t="str">
        <f>January!A11</f>
        <v>📝 Daily Journaling</v>
      </c>
      <c r="C33" s="39"/>
      <c r="D33" s="39"/>
      <c r="E33" s="41" t="str">
        <f>REPT("█",ROUND(IFERROR(AVERAGE(January!AI11,March!AI11,May!AI11,July!AI11,August!AI11,October!AI11,December!AI11)*10,0),0))&amp;REPT("░",10-ROUND(IFERROR(AVERAGE(January!AI11,March!AI11,May!AI11,July!AI11,August!AI11,October!AI11,December!AI11)*10,0),0))</f>
        <v>░░░░░░░░░░</v>
      </c>
      <c r="F33" s="39"/>
      <c r="G33" s="39"/>
      <c r="H33" s="43" t="str">
        <f>IF(IFERROR(AVERAGE(January!AI11,March!AI11),"0")&gt;=0.8,"⭐ STAR",IF(IFERROR(AVERAGE(January!AI11,March!AI11),"0")&gt;=0.5,"✅ GOOD","🔄 IMPROVE"))</f>
        <v>🔄 IMPROVE</v>
      </c>
      <c r="I33" s="42"/>
      <c r="J33" s="44" t="s">
        <v>52</v>
      </c>
      <c r="K33" s="42"/>
      <c r="L33" s="37"/>
    </row>
    <row r="34" spans="1:12" ht="24" customHeight="1" x14ac:dyDescent="0.25">
      <c r="A34" s="46" t="s">
        <v>59</v>
      </c>
      <c r="B34" s="48" t="str">
        <f>January!A12</f>
        <v>🚫 Reduce Social Media</v>
      </c>
      <c r="C34" s="47"/>
      <c r="D34" s="47"/>
      <c r="E34" s="49" t="str">
        <f>REPT("█",ROUND(IFERROR(AVERAGE(January!AI12,March!AI12,May!AI12,July!AI12,August!AI12,October!AI12,December!AI12)*10,0),0))&amp;REPT("░",10-ROUND(IFERROR(AVERAGE(January!AI12,March!AI12,May!AI12,July!AI12,August!AI12,October!AI12,December!AI12)*10,0),0))</f>
        <v>░░░░░░░░░░</v>
      </c>
      <c r="F34" s="47"/>
      <c r="G34" s="47"/>
      <c r="H34" s="51" t="str">
        <f>IF(IFERROR(AVERAGE(January!AI12,March!AI12),"0")&gt;=0.8,"⭐ STAR",IF(IFERROR(AVERAGE(January!AI12,March!AI12),"0")&gt;=0.5,"✅ GOOD","🔄 IMPROVE"))</f>
        <v>🔄 IMPROVE</v>
      </c>
      <c r="I34" s="50"/>
      <c r="J34" s="52" t="s">
        <v>52</v>
      </c>
      <c r="K34" s="50"/>
      <c r="L34" s="45"/>
    </row>
    <row r="35" spans="1:12" ht="24" customHeight="1" x14ac:dyDescent="0.25">
      <c r="A35" s="38" t="s">
        <v>60</v>
      </c>
      <c r="B35" s="40" t="str">
        <f>January!A13</f>
        <v>💪 Workout Routine</v>
      </c>
      <c r="C35" s="39"/>
      <c r="D35" s="39"/>
      <c r="E35" s="41" t="str">
        <f>REPT("█",ROUND(IFERROR(AVERAGE(January!AI13,March!AI13,May!AI13,July!AI13,August!AI13,October!AI13,December!AI13)*10,0),0))&amp;REPT("░",10-ROUND(IFERROR(AVERAGE(January!AI13,March!AI13,May!AI13,July!AI13,August!AI13,October!AI13,December!AI13)*10,0),0))</f>
        <v>░░░░░░░░░░</v>
      </c>
      <c r="F35" s="39"/>
      <c r="G35" s="39"/>
      <c r="H35" s="43" t="str">
        <f>IF(IFERROR(AVERAGE(January!AI13,March!AI13),"0")&gt;=0.8,"⭐ STAR",IF(IFERROR(AVERAGE(January!AI13,March!AI13),"0")&gt;=0.5,"✅ GOOD","🔄 IMPROVE"))</f>
        <v>🔄 IMPROVE</v>
      </c>
      <c r="I35" s="42"/>
      <c r="J35" s="44" t="s">
        <v>52</v>
      </c>
      <c r="K35" s="42"/>
      <c r="L35" s="37"/>
    </row>
    <row r="36" spans="1:12" ht="24" customHeight="1" x14ac:dyDescent="0.25">
      <c r="A36" s="46" t="s">
        <v>61</v>
      </c>
      <c r="B36" s="48" t="str">
        <f>January!A14</f>
        <v>🎨 Creative Activity</v>
      </c>
      <c r="C36" s="47"/>
      <c r="D36" s="47"/>
      <c r="E36" s="49" t="str">
        <f>REPT("█",ROUND(IFERROR(AVERAGE(January!AI14,March!AI14,May!AI14,July!AI14,August!AI14,October!AI14,December!AI14)*10,0),0))&amp;REPT("░",10-ROUND(IFERROR(AVERAGE(January!AI14,March!AI14,May!AI14,July!AI14,August!AI14,October!AI14,December!AI14)*10,0),0))</f>
        <v>░░░░░░░░░░</v>
      </c>
      <c r="F36" s="47"/>
      <c r="G36" s="47"/>
      <c r="H36" s="51" t="str">
        <f>IF(IFERROR(AVERAGE(January!AI14,March!AI14),"0")&gt;=0.8,"⭐ STAR",IF(IFERROR(AVERAGE(January!AI14,March!AI14),"0")&gt;=0.5,"✅ GOOD","🔄 IMPROVE"))</f>
        <v>🔄 IMPROVE</v>
      </c>
      <c r="I36" s="50"/>
      <c r="J36" s="52" t="s">
        <v>52</v>
      </c>
      <c r="K36" s="50"/>
      <c r="L36" s="45"/>
    </row>
    <row r="37" spans="1:12" ht="14.1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</sheetData>
  <mergeCells count="93">
    <mergeCell ref="B36:D36"/>
    <mergeCell ref="E36:G36"/>
    <mergeCell ref="H36:I36"/>
    <mergeCell ref="J36:K36"/>
    <mergeCell ref="B34:D34"/>
    <mergeCell ref="E34:G34"/>
    <mergeCell ref="H34:I34"/>
    <mergeCell ref="J34:K34"/>
    <mergeCell ref="B35:D35"/>
    <mergeCell ref="E35:G35"/>
    <mergeCell ref="H35:I35"/>
    <mergeCell ref="J35:K35"/>
    <mergeCell ref="B32:D32"/>
    <mergeCell ref="E32:G32"/>
    <mergeCell ref="H32:I32"/>
    <mergeCell ref="J32:K32"/>
    <mergeCell ref="B33:D33"/>
    <mergeCell ref="E33:G33"/>
    <mergeCell ref="H33:I33"/>
    <mergeCell ref="J33:K33"/>
    <mergeCell ref="B30:D30"/>
    <mergeCell ref="E30:G30"/>
    <mergeCell ref="H30:I30"/>
    <mergeCell ref="J30:K30"/>
    <mergeCell ref="B31:D31"/>
    <mergeCell ref="E31:G31"/>
    <mergeCell ref="H31:I31"/>
    <mergeCell ref="J31:K31"/>
    <mergeCell ref="B28:D28"/>
    <mergeCell ref="E28:G28"/>
    <mergeCell ref="H28:I28"/>
    <mergeCell ref="J28:K28"/>
    <mergeCell ref="B29:D29"/>
    <mergeCell ref="E29:G29"/>
    <mergeCell ref="H29:I29"/>
    <mergeCell ref="J29:K29"/>
    <mergeCell ref="E26:G26"/>
    <mergeCell ref="H26:I26"/>
    <mergeCell ref="J26:K26"/>
    <mergeCell ref="B27:D27"/>
    <mergeCell ref="E27:G27"/>
    <mergeCell ref="H27:I27"/>
    <mergeCell ref="J27:K27"/>
    <mergeCell ref="A18:C18"/>
    <mergeCell ref="D18:F18"/>
    <mergeCell ref="G18:I18"/>
    <mergeCell ref="J18:L18"/>
    <mergeCell ref="A20:C20"/>
    <mergeCell ref="D20:F20"/>
    <mergeCell ref="G20:I20"/>
    <mergeCell ref="J20:L20"/>
    <mergeCell ref="A1:L1"/>
    <mergeCell ref="A4:L4"/>
    <mergeCell ref="A10:L10"/>
    <mergeCell ref="A24:L24"/>
    <mergeCell ref="A7:B7"/>
    <mergeCell ref="A8:B8"/>
    <mergeCell ref="D7:E7"/>
    <mergeCell ref="D8:E8"/>
    <mergeCell ref="G7:H7"/>
    <mergeCell ref="G8:H8"/>
    <mergeCell ref="J7:K7"/>
    <mergeCell ref="J8:K8"/>
    <mergeCell ref="A14:C14"/>
    <mergeCell ref="D14:F14"/>
    <mergeCell ref="G14:I14"/>
    <mergeCell ref="J14:L14"/>
    <mergeCell ref="A21:C21"/>
    <mergeCell ref="A22:C22"/>
    <mergeCell ref="D21:F21"/>
    <mergeCell ref="D22:F22"/>
    <mergeCell ref="G21:I21"/>
    <mergeCell ref="G22:I22"/>
    <mergeCell ref="J21:L21"/>
    <mergeCell ref="J22:L22"/>
    <mergeCell ref="B26:D26"/>
    <mergeCell ref="A2:L2"/>
    <mergeCell ref="A17:C17"/>
    <mergeCell ref="D17:F17"/>
    <mergeCell ref="G17:I17"/>
    <mergeCell ref="J17:L17"/>
    <mergeCell ref="G16:I16"/>
    <mergeCell ref="J16:L16"/>
    <mergeCell ref="A16:C16"/>
    <mergeCell ref="D16:F16"/>
    <mergeCell ref="A13:C13"/>
    <mergeCell ref="D13:F13"/>
    <mergeCell ref="G13:I13"/>
    <mergeCell ref="J13:L13"/>
    <mergeCell ref="G12:I12"/>
    <mergeCell ref="J12:L12"/>
    <mergeCell ref="A12:C12"/>
    <mergeCell ref="D12:F12"/>
  </mergeCells>
  <conditionalFormatting sqref="A13">
    <cfRule type="colorScale" priority="1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D13">
    <cfRule type="colorScale" priority="2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G13">
    <cfRule type="colorScale" priority="3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J13">
    <cfRule type="colorScale" priority="4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A17">
    <cfRule type="colorScale" priority="5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D17">
    <cfRule type="colorScale" priority="6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G17">
    <cfRule type="colorScale" priority="7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J17">
    <cfRule type="colorScale" priority="8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A21">
    <cfRule type="colorScale" priority="9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D21">
    <cfRule type="colorScale" priority="10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G21">
    <cfRule type="colorScale" priority="11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conditionalFormatting sqref="J21">
    <cfRule type="colorScale" priority="12">
      <colorScale>
        <cfvo type="num" val="0"/>
        <cfvo type="num" val="0.5"/>
        <cfvo type="num" val="1"/>
        <color rgb="FF2D3561"/>
        <color rgb="FF6C5CE7"/>
        <color rgb="FF00E5A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EB9-68A3-4F36-935E-61E7F445CA1A}">
  <dimension ref="A1:R45"/>
  <sheetViews>
    <sheetView showGridLines="0" zoomScale="50" zoomScaleNormal="50" workbookViewId="0">
      <selection sqref="A1:R1"/>
    </sheetView>
  </sheetViews>
  <sheetFormatPr defaultRowHeight="15" x14ac:dyDescent="0.25"/>
  <sheetData>
    <row r="1" spans="1:18" ht="44.1" customHeight="1" x14ac:dyDescent="0.25">
      <c r="A1" s="53" t="s">
        <v>78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x14ac:dyDescent="0.25">
      <c r="A3" s="54" t="s">
        <v>79</v>
      </c>
      <c r="B3" s="54" t="s">
        <v>18</v>
      </c>
      <c r="C3" s="54"/>
      <c r="D3" s="54" t="s">
        <v>80</v>
      </c>
      <c r="E3" s="54" t="s">
        <v>81</v>
      </c>
      <c r="F3" s="54"/>
      <c r="G3" s="54" t="s">
        <v>82</v>
      </c>
      <c r="H3" s="54" t="s">
        <v>83</v>
      </c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x14ac:dyDescent="0.25">
      <c r="A4" s="54" t="str">
        <f>Dashboard!N2</f>
        <v>January</v>
      </c>
      <c r="B4" s="55">
        <f>Dashboard!O2</f>
        <v>0</v>
      </c>
      <c r="C4" s="54"/>
      <c r="D4" s="54" t="str">
        <f>Dashboard!N16</f>
        <v>💧 Drink 8 Glasses Water</v>
      </c>
      <c r="E4" s="55">
        <f>Dashboard!O16</f>
        <v>0</v>
      </c>
      <c r="F4" s="54"/>
      <c r="G4" s="54" t="str">
        <f>Dashboard!N27</f>
        <v>Completed</v>
      </c>
      <c r="H4" s="54">
        <f>Dashboard!O27</f>
        <v>0</v>
      </c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x14ac:dyDescent="0.25">
      <c r="A5" s="54" t="str">
        <f>Dashboard!N3</f>
        <v>February</v>
      </c>
      <c r="B5" s="55">
        <f>Dashboard!O3</f>
        <v>0</v>
      </c>
      <c r="C5" s="54"/>
      <c r="D5" s="54" t="str">
        <f>Dashboard!N17</f>
        <v>🏃 Exercise 30 Minutes</v>
      </c>
      <c r="E5" s="55">
        <f>Dashboard!O17</f>
        <v>0</v>
      </c>
      <c r="F5" s="54"/>
      <c r="G5" s="54" t="str">
        <f>Dashboard!N28</f>
        <v>Remaining</v>
      </c>
      <c r="H5" s="54">
        <f>Dashboard!O28</f>
        <v>2987</v>
      </c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x14ac:dyDescent="0.25">
      <c r="A6" s="54" t="str">
        <f>Dashboard!N4</f>
        <v>March</v>
      </c>
      <c r="B6" s="55">
        <f>Dashboard!O4</f>
        <v>0</v>
      </c>
      <c r="C6" s="54"/>
      <c r="D6" s="54" t="str">
        <f>Dashboard!N18</f>
        <v>📚 Read 3 Pages</v>
      </c>
      <c r="E6" s="55">
        <f>Dashboard!O18</f>
        <v>0</v>
      </c>
      <c r="F6" s="54"/>
      <c r="G6" s="54"/>
      <c r="H6" s="54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x14ac:dyDescent="0.25">
      <c r="A7" s="54" t="str">
        <f>Dashboard!N5</f>
        <v>April</v>
      </c>
      <c r="B7" s="55">
        <f>Dashboard!O5</f>
        <v>0</v>
      </c>
      <c r="C7" s="54"/>
      <c r="D7" s="54" t="str">
        <f>Dashboard!N19</f>
        <v>🧘 Meditate 10 Minutes</v>
      </c>
      <c r="E7" s="55">
        <f>Dashboard!O19</f>
        <v>0</v>
      </c>
      <c r="F7" s="54"/>
      <c r="G7" s="54"/>
      <c r="H7" s="54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 x14ac:dyDescent="0.25">
      <c r="A8" s="54" t="str">
        <f>Dashboard!N6</f>
        <v>May</v>
      </c>
      <c r="B8" s="55">
        <f>Dashboard!O6</f>
        <v>0</v>
      </c>
      <c r="C8" s="54"/>
      <c r="D8" s="54" t="str">
        <f>Dashboard!N20</f>
        <v>😴 Sleep Before 11 PM</v>
      </c>
      <c r="E8" s="55">
        <f>Dashboard!O20</f>
        <v>0</v>
      </c>
      <c r="F8" s="54"/>
      <c r="G8" s="54"/>
      <c r="H8" s="54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 x14ac:dyDescent="0.25">
      <c r="A9" s="54" t="str">
        <f>Dashboard!N7</f>
        <v>June</v>
      </c>
      <c r="B9" s="55">
        <f>Dashboard!O7</f>
        <v>0</v>
      </c>
      <c r="C9" s="54"/>
      <c r="D9" s="54" t="str">
        <f>Dashboard!N21</f>
        <v>🥗 Eat Healthy Meals</v>
      </c>
      <c r="E9" s="55">
        <f>Dashboard!O21</f>
        <v>0</v>
      </c>
      <c r="F9" s="54"/>
      <c r="G9" s="54"/>
      <c r="H9" s="54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x14ac:dyDescent="0.25">
      <c r="A10" s="54" t="str">
        <f>Dashboard!N8</f>
        <v>July</v>
      </c>
      <c r="B10" s="55">
        <f>Dashboard!O8</f>
        <v>0</v>
      </c>
      <c r="C10" s="54"/>
      <c r="D10" s="54" t="str">
        <f>Dashboard!N22</f>
        <v>📝 Daily Journaling</v>
      </c>
      <c r="E10" s="55">
        <f>Dashboard!O22</f>
        <v>0</v>
      </c>
      <c r="F10" s="54"/>
      <c r="G10" s="54"/>
      <c r="H10" s="54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x14ac:dyDescent="0.25">
      <c r="A11" s="54" t="str">
        <f>Dashboard!N9</f>
        <v>August</v>
      </c>
      <c r="B11" s="55">
        <f>Dashboard!O9</f>
        <v>0</v>
      </c>
      <c r="C11" s="54"/>
      <c r="D11" s="54" t="str">
        <f>Dashboard!N23</f>
        <v>🚫 Reduce Social Media</v>
      </c>
      <c r="E11" s="55">
        <f>Dashboard!O23</f>
        <v>0</v>
      </c>
      <c r="F11" s="54"/>
      <c r="G11" s="54"/>
      <c r="H11" s="54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x14ac:dyDescent="0.25">
      <c r="A12" s="54" t="str">
        <f>Dashboard!N10</f>
        <v>September</v>
      </c>
      <c r="B12" s="55">
        <f>Dashboard!O10</f>
        <v>0</v>
      </c>
      <c r="C12" s="54"/>
      <c r="D12" s="54" t="str">
        <f>Dashboard!N24</f>
        <v>💪 Workout Routine</v>
      </c>
      <c r="E12" s="55">
        <f>Dashboard!O24</f>
        <v>0</v>
      </c>
      <c r="F12" s="54"/>
      <c r="G12" s="54"/>
      <c r="H12" s="54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x14ac:dyDescent="0.25">
      <c r="A13" s="54" t="str">
        <f>Dashboard!N11</f>
        <v>October</v>
      </c>
      <c r="B13" s="55">
        <f>Dashboard!O11</f>
        <v>0</v>
      </c>
      <c r="C13" s="54"/>
      <c r="D13" s="54" t="str">
        <f>Dashboard!N25</f>
        <v>🎨 Creative Activity</v>
      </c>
      <c r="E13" s="55">
        <f>Dashboard!O25</f>
        <v>0</v>
      </c>
      <c r="F13" s="54"/>
      <c r="G13" s="54"/>
      <c r="H13" s="54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x14ac:dyDescent="0.25">
      <c r="A14" s="54" t="str">
        <f>Dashboard!N12</f>
        <v>November</v>
      </c>
      <c r="B14" s="55">
        <f>Dashboard!O12</f>
        <v>0</v>
      </c>
      <c r="C14" s="54"/>
      <c r="D14" s="54"/>
      <c r="E14" s="54"/>
      <c r="F14" s="54"/>
      <c r="G14" s="54"/>
      <c r="H14" s="54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x14ac:dyDescent="0.25">
      <c r="A15" s="54" t="str">
        <f>Dashboard!N13</f>
        <v>December</v>
      </c>
      <c r="B15" s="55">
        <f>Dashboard!O13</f>
        <v>0</v>
      </c>
      <c r="C15" s="54"/>
      <c r="D15" s="54"/>
      <c r="E15" s="54"/>
      <c r="F15" s="54"/>
      <c r="G15" s="54"/>
      <c r="H15" s="54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  <row r="33" spans="1:18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  <row r="41" spans="1:18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  <row r="42" spans="1:18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</row>
    <row r="43" spans="1:18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spans="1:18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spans="1:18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</sheetData>
  <mergeCells count="1">
    <mergeCell ref="A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51BB-8DC3-4A16-88BA-A790C63C9B7F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JANUARY "&amp;Dashboard!B1</f>
        <v xml:space="preserve">🎯 HABIT TRACKER - JANUARY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62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2">
        <f t="shared" ref="AG5:AG14" si="0">COUNTIF(B5:AF5,"✓")</f>
        <v>0</v>
      </c>
      <c r="AH5" s="4">
        <v>31</v>
      </c>
      <c r="AI5" s="6">
        <f t="shared" ref="AI5:AI14" si="1">IF(AH5=0,0,AG5/AH5)</f>
        <v>0</v>
      </c>
    </row>
    <row r="6" spans="1:35" ht="27.95" customHeight="1" x14ac:dyDescent="0.3">
      <c r="A6" s="62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2">
        <f t="shared" si="0"/>
        <v>0</v>
      </c>
      <c r="AH6" s="4">
        <v>22</v>
      </c>
      <c r="AI6" s="6">
        <f t="shared" si="1"/>
        <v>0</v>
      </c>
    </row>
    <row r="7" spans="1:35" ht="27.95" customHeight="1" x14ac:dyDescent="0.3">
      <c r="A7" s="62" t="s">
        <v>31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2">
        <f t="shared" si="0"/>
        <v>0</v>
      </c>
      <c r="AH7" s="4">
        <v>31</v>
      </c>
      <c r="AI7" s="6">
        <f t="shared" si="1"/>
        <v>0</v>
      </c>
    </row>
    <row r="8" spans="1:35" ht="27.95" customHeight="1" x14ac:dyDescent="0.3">
      <c r="A8" s="62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">
        <f t="shared" si="0"/>
        <v>0</v>
      </c>
      <c r="AH8" s="4">
        <v>31</v>
      </c>
      <c r="AI8" s="6">
        <f t="shared" si="1"/>
        <v>0</v>
      </c>
    </row>
    <row r="9" spans="1:35" ht="27.95" customHeight="1" x14ac:dyDescent="0.3">
      <c r="A9" s="62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2">
        <f t="shared" si="0"/>
        <v>0</v>
      </c>
      <c r="AH9" s="4">
        <v>31</v>
      </c>
      <c r="AI9" s="6">
        <f t="shared" si="1"/>
        <v>0</v>
      </c>
    </row>
    <row r="10" spans="1:35" ht="27.95" customHeight="1" x14ac:dyDescent="0.3">
      <c r="A10" s="62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2">
        <f t="shared" si="0"/>
        <v>0</v>
      </c>
      <c r="AH10" s="4">
        <v>26</v>
      </c>
      <c r="AI10" s="6">
        <f t="shared" si="1"/>
        <v>0</v>
      </c>
    </row>
    <row r="11" spans="1:35" ht="27.95" customHeight="1" x14ac:dyDescent="0.3">
      <c r="A11" s="62" t="s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2">
        <f t="shared" si="0"/>
        <v>0</v>
      </c>
      <c r="AH11" s="4">
        <v>22</v>
      </c>
      <c r="AI11" s="6">
        <f t="shared" si="1"/>
        <v>0</v>
      </c>
    </row>
    <row r="12" spans="1:35" ht="27.95" customHeight="1" x14ac:dyDescent="0.3">
      <c r="A12" s="62" t="s">
        <v>16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2">
        <f t="shared" si="0"/>
        <v>0</v>
      </c>
      <c r="AH12" s="4">
        <v>31</v>
      </c>
      <c r="AI12" s="6">
        <f t="shared" si="1"/>
        <v>0</v>
      </c>
    </row>
    <row r="13" spans="1:35" ht="27.95" customHeight="1" x14ac:dyDescent="0.3">
      <c r="A13" s="62" t="s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2">
        <f t="shared" si="0"/>
        <v>0</v>
      </c>
      <c r="AH13" s="4">
        <v>16</v>
      </c>
      <c r="AI13" s="6">
        <f t="shared" si="1"/>
        <v>0</v>
      </c>
    </row>
    <row r="14" spans="1:35" ht="27.95" customHeight="1" x14ac:dyDescent="0.3">
      <c r="A14" s="62" t="s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2">
        <f t="shared" si="0"/>
        <v>0</v>
      </c>
      <c r="AH14" s="4">
        <v>13</v>
      </c>
      <c r="AI14" s="6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SUM(AG5:AG14)</f>
        <v>0</v>
      </c>
      <c r="B19" s="12"/>
      <c r="C19" s="12"/>
      <c r="E19" s="17">
        <f>IFERROR(AVERAGE(AI5:AI14),0)</f>
        <v>0</v>
      </c>
      <c r="F19" s="17"/>
      <c r="G19" s="17"/>
      <c r="I19" s="19">
        <f>COUNTIF(AI5:AI14,"&gt;=1")</f>
        <v>0</v>
      </c>
      <c r="J19" s="19"/>
      <c r="K19" s="19"/>
    </row>
    <row r="20" spans="1:11" ht="15.75" thickTop="1" x14ac:dyDescent="0.25"/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{56B6DE98-3C62-45F5-885F-3E040FC51D63}</x14:id>
        </ext>
      </extLst>
    </cfRule>
  </conditionalFormatting>
  <conditionalFormatting sqref="B5:AF14">
    <cfRule type="cellIs" dxfId="11" priority="3" operator="equal">
      <formula>"✓"</formula>
    </cfRule>
  </conditionalFormatting>
  <dataValidations count="1">
    <dataValidation type="list" allowBlank="1" showInputMessage="1" showErrorMessage="1" sqref="B5:AF14" xr:uid="{E8941E71-050D-435D-9EE2-39764BB6813A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B6DE98-3C62-45F5-885F-3E040FC51D6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4C8C-413E-462F-80AA-A1A36DF6B91F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29" width="6.7109375" customWidth="1"/>
    <col min="30" max="31" width="10.42578125" customWidth="1"/>
    <col min="32" max="32" width="14.28515625" customWidth="1"/>
  </cols>
  <sheetData>
    <row r="1" spans="1:35" ht="45" customHeight="1" x14ac:dyDescent="0.45">
      <c r="A1" s="56" t="str">
        <f>"🎯 HABIT TRACKER - FEBRUARY "&amp;Dashboard!B1</f>
        <v xml:space="preserve">🎯 HABIT TRACKER - FEBRUARY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63"/>
      <c r="AH1" s="63"/>
      <c r="AI1" s="63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63"/>
      <c r="AH2" s="63"/>
      <c r="AI2" s="63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 t="s">
        <v>2</v>
      </c>
      <c r="AE4" s="61" t="s">
        <v>3</v>
      </c>
      <c r="AF4" s="61" t="s">
        <v>4</v>
      </c>
      <c r="AG4" s="31"/>
      <c r="AH4" s="31"/>
      <c r="AI4" s="31"/>
    </row>
    <row r="5" spans="1:35" ht="27.95" customHeight="1" x14ac:dyDescent="0.3">
      <c r="A5" s="64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7">
        <f t="shared" ref="AD5:AD14" si="0">COUNTIF(B5:AC5,"✓")</f>
        <v>0</v>
      </c>
      <c r="AE5" s="8">
        <v>28</v>
      </c>
      <c r="AF5" s="9">
        <f t="shared" ref="AF5:AF14" si="1">IF(AE5=0,0,AD5/AE5)</f>
        <v>0</v>
      </c>
    </row>
    <row r="6" spans="1:35" ht="27.95" customHeight="1" x14ac:dyDescent="0.3">
      <c r="A6" s="64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7">
        <f t="shared" si="0"/>
        <v>0</v>
      </c>
      <c r="AE6" s="8">
        <v>20</v>
      </c>
      <c r="AF6" s="9">
        <f t="shared" si="1"/>
        <v>0</v>
      </c>
    </row>
    <row r="7" spans="1:35" ht="27.95" customHeight="1" x14ac:dyDescent="0.3">
      <c r="A7" s="64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7">
        <f t="shared" si="0"/>
        <v>0</v>
      </c>
      <c r="AE7" s="8">
        <v>28</v>
      </c>
      <c r="AF7" s="9">
        <f t="shared" si="1"/>
        <v>0</v>
      </c>
    </row>
    <row r="8" spans="1:35" ht="27.95" customHeight="1" x14ac:dyDescent="0.3">
      <c r="A8" s="64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7">
        <f t="shared" si="0"/>
        <v>0</v>
      </c>
      <c r="AE8" s="8">
        <v>28</v>
      </c>
      <c r="AF8" s="9">
        <f t="shared" si="1"/>
        <v>0</v>
      </c>
    </row>
    <row r="9" spans="1:35" ht="27.95" customHeight="1" x14ac:dyDescent="0.3">
      <c r="A9" s="64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7">
        <f t="shared" si="0"/>
        <v>0</v>
      </c>
      <c r="AE9" s="8">
        <v>28</v>
      </c>
      <c r="AF9" s="9">
        <f t="shared" si="1"/>
        <v>0</v>
      </c>
    </row>
    <row r="10" spans="1:35" ht="27.95" customHeight="1" x14ac:dyDescent="0.3">
      <c r="A10" s="64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7">
        <f t="shared" si="0"/>
        <v>0</v>
      </c>
      <c r="AE10" s="8">
        <v>23</v>
      </c>
      <c r="AF10" s="9">
        <f t="shared" si="1"/>
        <v>0</v>
      </c>
    </row>
    <row r="11" spans="1:35" ht="27.95" customHeight="1" x14ac:dyDescent="0.3">
      <c r="A11" s="64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7">
        <f t="shared" si="0"/>
        <v>0</v>
      </c>
      <c r="AE11" s="8">
        <v>20</v>
      </c>
      <c r="AF11" s="9">
        <f t="shared" si="1"/>
        <v>0</v>
      </c>
    </row>
    <row r="12" spans="1:35" ht="27.95" customHeight="1" x14ac:dyDescent="0.3">
      <c r="A12" s="64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7">
        <f t="shared" si="0"/>
        <v>0</v>
      </c>
      <c r="AE12" s="8">
        <v>28</v>
      </c>
      <c r="AF12" s="9">
        <f t="shared" si="1"/>
        <v>0</v>
      </c>
    </row>
    <row r="13" spans="1:35" ht="27.95" customHeight="1" x14ac:dyDescent="0.3">
      <c r="A13" s="64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7">
        <f t="shared" si="0"/>
        <v>0</v>
      </c>
      <c r="AE13" s="8">
        <v>14</v>
      </c>
      <c r="AF13" s="9">
        <f t="shared" si="1"/>
        <v>0</v>
      </c>
    </row>
    <row r="14" spans="1:35" ht="27.95" customHeight="1" x14ac:dyDescent="0.3">
      <c r="A14" s="64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7">
        <f t="shared" si="0"/>
        <v>0</v>
      </c>
      <c r="AE14" s="8">
        <v>12</v>
      </c>
      <c r="AF14" s="9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SUM(AD5:AD14)</f>
        <v>0</v>
      </c>
      <c r="B19" s="12"/>
      <c r="C19" s="12"/>
      <c r="E19" s="17">
        <f>IFERROR(AVERAGE(AF5:AF14),0)</f>
        <v>0</v>
      </c>
      <c r="F19" s="17"/>
      <c r="G19" s="17"/>
      <c r="I19" s="19">
        <f>COUNTIF(AF5:AF14,"&gt;=1")</f>
        <v>0</v>
      </c>
      <c r="J19" s="19"/>
      <c r="K19" s="19"/>
    </row>
    <row r="20" spans="1:11" ht="15.75" thickTop="1" x14ac:dyDescent="0.25"/>
  </sheetData>
  <mergeCells count="9">
    <mergeCell ref="E19:G19"/>
    <mergeCell ref="I18:K18"/>
    <mergeCell ref="I19:K19"/>
    <mergeCell ref="A19:C19"/>
    <mergeCell ref="A1:AF1"/>
    <mergeCell ref="A2:AF2"/>
    <mergeCell ref="A16:AF16"/>
    <mergeCell ref="A18:C18"/>
    <mergeCell ref="E18:G18"/>
  </mergeCells>
  <conditionalFormatting sqref="AF5:AF14">
    <cfRule type="dataBar" priority="1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{A35178AE-47D8-49EA-AD17-E1A008AC450F}</x14:id>
        </ext>
      </extLst>
    </cfRule>
  </conditionalFormatting>
  <conditionalFormatting sqref="B5:AC14">
    <cfRule type="cellIs" dxfId="10" priority="2" operator="equal">
      <formula>"✓"</formula>
    </cfRule>
  </conditionalFormatting>
  <dataValidations count="1">
    <dataValidation type="list" allowBlank="1" showInputMessage="1" showErrorMessage="1" sqref="B5:AC14" xr:uid="{3094CC64-8282-4632-8827-FDC3BB8A1A53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5178AE-47D8-49EA-AD17-E1A008AC450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AF5:AF14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DC02-B0D8-439B-B257-E8C6584D8042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MARCH "&amp;Dashboard!B1</f>
        <v xml:space="preserve">🎯 HABIT TRACKER - MARCH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65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">
        <f t="shared" ref="AG5:AG14" si="0">COUNTIF(B5:AF5,"✓")</f>
        <v>0</v>
      </c>
      <c r="AH5" s="3">
        <v>31</v>
      </c>
      <c r="AI5" s="5">
        <f t="shared" ref="AI5:AI14" si="1">IF(AH5=0,0,AG5/AH5)</f>
        <v>0</v>
      </c>
    </row>
    <row r="6" spans="1:35" ht="27.95" customHeight="1" x14ac:dyDescent="0.3">
      <c r="A6" s="65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">
        <f t="shared" si="0"/>
        <v>0</v>
      </c>
      <c r="AH6" s="3">
        <v>22</v>
      </c>
      <c r="AI6" s="5">
        <f t="shared" si="1"/>
        <v>0</v>
      </c>
    </row>
    <row r="7" spans="1:35" ht="27.95" customHeight="1" x14ac:dyDescent="0.3">
      <c r="A7" s="65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">
        <f t="shared" si="0"/>
        <v>0</v>
      </c>
      <c r="AH7" s="3">
        <v>31</v>
      </c>
      <c r="AI7" s="5">
        <f t="shared" si="1"/>
        <v>0</v>
      </c>
    </row>
    <row r="8" spans="1:35" ht="27.95" customHeight="1" x14ac:dyDescent="0.3">
      <c r="A8" s="65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">
        <f t="shared" si="0"/>
        <v>0</v>
      </c>
      <c r="AH8" s="3">
        <v>31</v>
      </c>
      <c r="AI8" s="5">
        <f t="shared" si="1"/>
        <v>0</v>
      </c>
    </row>
    <row r="9" spans="1:35" ht="27.95" customHeight="1" x14ac:dyDescent="0.3">
      <c r="A9" s="65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">
        <f t="shared" si="0"/>
        <v>0</v>
      </c>
      <c r="AH9" s="3">
        <v>31</v>
      </c>
      <c r="AI9" s="5">
        <f t="shared" si="1"/>
        <v>0</v>
      </c>
    </row>
    <row r="10" spans="1:35" ht="27.95" customHeight="1" x14ac:dyDescent="0.3">
      <c r="A10" s="65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">
        <f t="shared" si="0"/>
        <v>0</v>
      </c>
      <c r="AH10" s="3">
        <v>26</v>
      </c>
      <c r="AI10" s="5">
        <f t="shared" si="1"/>
        <v>0</v>
      </c>
    </row>
    <row r="11" spans="1:35" ht="27.95" customHeight="1" x14ac:dyDescent="0.3">
      <c r="A11" s="65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">
        <f t="shared" si="0"/>
        <v>0</v>
      </c>
      <c r="AH11" s="3">
        <v>22</v>
      </c>
      <c r="AI11" s="5">
        <f t="shared" si="1"/>
        <v>0</v>
      </c>
    </row>
    <row r="12" spans="1:35" ht="27.95" customHeight="1" x14ac:dyDescent="0.3">
      <c r="A12" s="65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">
        <f t="shared" si="0"/>
        <v>0</v>
      </c>
      <c r="AH12" s="3">
        <v>31</v>
      </c>
      <c r="AI12" s="5">
        <f t="shared" si="1"/>
        <v>0</v>
      </c>
    </row>
    <row r="13" spans="1:35" ht="27.95" customHeight="1" x14ac:dyDescent="0.3">
      <c r="A13" s="65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">
        <f t="shared" si="0"/>
        <v>0</v>
      </c>
      <c r="AH13" s="3">
        <v>16</v>
      </c>
      <c r="AI13" s="5">
        <f t="shared" si="1"/>
        <v>0</v>
      </c>
    </row>
    <row r="14" spans="1:35" ht="27.95" customHeight="1" x14ac:dyDescent="0.3">
      <c r="A14" s="65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">
        <f t="shared" si="0"/>
        <v>0</v>
      </c>
      <c r="AH14" s="3">
        <v>13</v>
      </c>
      <c r="AI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SUM(AG5:AG14)</f>
        <v>0</v>
      </c>
      <c r="B19" s="12"/>
      <c r="C19" s="12"/>
      <c r="E19" s="17">
        <f>IFERROR(AVERAGE(AI5:AI14),0)</f>
        <v>0</v>
      </c>
      <c r="F19" s="17"/>
      <c r="G19" s="17"/>
      <c r="I19" s="19">
        <f>COUNTIF(AI5:AI14,"&gt;=1")</f>
        <v>0</v>
      </c>
      <c r="J19" s="19"/>
      <c r="K19" s="19"/>
    </row>
    <row r="20" spans="1:11" ht="15.75" thickTop="1" x14ac:dyDescent="0.25"/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{571E69A3-21D3-46C0-B293-6B22C4EDB1A6}</x14:id>
        </ext>
      </extLst>
    </cfRule>
  </conditionalFormatting>
  <conditionalFormatting sqref="B5:AF14">
    <cfRule type="cellIs" dxfId="9" priority="3" operator="equal">
      <formula>"✓"</formula>
    </cfRule>
  </conditionalFormatting>
  <dataValidations count="1">
    <dataValidation type="list" allowBlank="1" showInputMessage="1" showErrorMessage="1" sqref="B5:AF14" xr:uid="{D06ACDF2-FC5E-4984-99EF-7A96CDF8BF24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1E69A3-21D3-46C0-B293-6B22C4EDB1A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90CB-B988-4BCB-B7FD-99B5FD50FF8D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1" width="6.7109375" customWidth="1"/>
    <col min="32" max="33" width="10.42578125" customWidth="1"/>
    <col min="34" max="34" width="14.28515625" customWidth="1"/>
  </cols>
  <sheetData>
    <row r="1" spans="1:35" ht="45" customHeight="1" x14ac:dyDescent="0.45">
      <c r="A1" s="56" t="str">
        <f>"🎯 HABIT TRACKER - APRIL "&amp;Dashboard!B1</f>
        <v xml:space="preserve">🎯 HABIT TRACKER - APRIL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63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63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 t="s">
        <v>2</v>
      </c>
      <c r="AG4" s="31" t="s">
        <v>3</v>
      </c>
      <c r="AH4" s="31" t="s">
        <v>4</v>
      </c>
      <c r="AI4" s="31"/>
    </row>
    <row r="5" spans="1:35" ht="27.95" customHeight="1" x14ac:dyDescent="0.3">
      <c r="A5" s="66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7">
        <f t="shared" ref="AF5:AF14" si="0">COUNTIF(B5:AE5,"✓")</f>
        <v>0</v>
      </c>
      <c r="AG5" s="3">
        <v>30</v>
      </c>
      <c r="AH5" s="5">
        <f t="shared" ref="AH5:AH14" si="1">IF(AG5=0,0,AF5/AG5)</f>
        <v>0</v>
      </c>
    </row>
    <row r="6" spans="1:35" ht="27.95" customHeight="1" x14ac:dyDescent="0.3">
      <c r="A6" s="66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7">
        <f t="shared" si="0"/>
        <v>0</v>
      </c>
      <c r="AG6" s="3">
        <v>21</v>
      </c>
      <c r="AH6" s="5">
        <f t="shared" si="1"/>
        <v>0</v>
      </c>
    </row>
    <row r="7" spans="1:35" ht="27.95" customHeight="1" x14ac:dyDescent="0.3">
      <c r="A7" s="66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7">
        <f t="shared" si="0"/>
        <v>0</v>
      </c>
      <c r="AG7" s="3">
        <v>30</v>
      </c>
      <c r="AH7" s="5">
        <f t="shared" si="1"/>
        <v>0</v>
      </c>
    </row>
    <row r="8" spans="1:35" ht="27.95" customHeight="1" x14ac:dyDescent="0.3">
      <c r="A8" s="66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7">
        <f t="shared" si="0"/>
        <v>0</v>
      </c>
      <c r="AG8" s="3">
        <v>30</v>
      </c>
      <c r="AH8" s="5">
        <f t="shared" si="1"/>
        <v>0</v>
      </c>
    </row>
    <row r="9" spans="1:35" ht="27.95" customHeight="1" x14ac:dyDescent="0.3">
      <c r="A9" s="66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7">
        <f t="shared" si="0"/>
        <v>0</v>
      </c>
      <c r="AG9" s="3">
        <v>30</v>
      </c>
      <c r="AH9" s="5">
        <f t="shared" si="1"/>
        <v>0</v>
      </c>
    </row>
    <row r="10" spans="1:35" ht="27.95" customHeight="1" x14ac:dyDescent="0.3">
      <c r="A10" s="66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7">
        <f t="shared" si="0"/>
        <v>0</v>
      </c>
      <c r="AG10" s="3">
        <v>25</v>
      </c>
      <c r="AH10" s="5">
        <f t="shared" si="1"/>
        <v>0</v>
      </c>
    </row>
    <row r="11" spans="1:35" ht="27.95" customHeight="1" x14ac:dyDescent="0.3">
      <c r="A11" s="66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7">
        <f t="shared" si="0"/>
        <v>0</v>
      </c>
      <c r="AG11" s="3">
        <v>21</v>
      </c>
      <c r="AH11" s="5">
        <f t="shared" si="1"/>
        <v>0</v>
      </c>
    </row>
    <row r="12" spans="1:35" ht="27.95" customHeight="1" x14ac:dyDescent="0.3">
      <c r="A12" s="66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7">
        <f t="shared" si="0"/>
        <v>0</v>
      </c>
      <c r="AG12" s="3">
        <v>30</v>
      </c>
      <c r="AH12" s="5">
        <f t="shared" si="1"/>
        <v>0</v>
      </c>
    </row>
    <row r="13" spans="1:35" ht="27.95" customHeight="1" x14ac:dyDescent="0.3">
      <c r="A13" s="66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7">
        <f t="shared" si="0"/>
        <v>0</v>
      </c>
      <c r="AG13" s="3">
        <v>15</v>
      </c>
      <c r="AH13" s="5">
        <f t="shared" si="1"/>
        <v>0</v>
      </c>
    </row>
    <row r="14" spans="1:35" ht="27.95" customHeight="1" x14ac:dyDescent="0.3">
      <c r="A14" s="66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7">
        <f t="shared" si="0"/>
        <v>0</v>
      </c>
      <c r="AG14" s="3">
        <v>13</v>
      </c>
      <c r="AH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SUM(AF5:AF14)</f>
        <v>0</v>
      </c>
      <c r="B19" s="12"/>
      <c r="C19" s="12"/>
      <c r="E19" s="17">
        <f>IFERROR(AVERAGE(AH5:AH14),0)</f>
        <v>0</v>
      </c>
      <c r="F19" s="17"/>
      <c r="G19" s="17"/>
      <c r="I19" s="19">
        <f>COUNTIF(AH5:AH14,"&gt;=1")</f>
        <v>0</v>
      </c>
      <c r="J19" s="19"/>
      <c r="K19" s="19"/>
    </row>
    <row r="20" spans="1:11" ht="15.75" thickTop="1" x14ac:dyDescent="0.25"/>
  </sheetData>
  <mergeCells count="9">
    <mergeCell ref="A1:AH1"/>
    <mergeCell ref="A2:AH2"/>
    <mergeCell ref="A19:C19"/>
    <mergeCell ref="A16:AH16"/>
    <mergeCell ref="A18:C18"/>
    <mergeCell ref="E18:G18"/>
    <mergeCell ref="E19:G19"/>
    <mergeCell ref="I18:K18"/>
    <mergeCell ref="I19:K19"/>
  </mergeCells>
  <conditionalFormatting sqref="AH5:AH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{DE6A8F02-134B-4C0D-90F3-82468107DE82}</x14:id>
        </ext>
      </extLst>
    </cfRule>
  </conditionalFormatting>
  <conditionalFormatting sqref="B5:AE14">
    <cfRule type="cellIs" dxfId="8" priority="3" operator="equal">
      <formula>"✓"</formula>
    </cfRule>
  </conditionalFormatting>
  <dataValidations count="1">
    <dataValidation type="list" allowBlank="1" showInputMessage="1" showErrorMessage="1" sqref="B5:AE14" xr:uid="{42B873AA-88E3-4A19-81ED-42BE4FF828DD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6A8F02-134B-4C0D-90F3-82468107DE8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AH5:AH14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FC30-387C-4AA6-8411-8EF00097CAF4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MAY "&amp;Dashboard!B1</f>
        <v xml:space="preserve">🎯 HABIT TRACKER - MAY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67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">
        <f t="shared" ref="AG5:AG14" si="0">COUNTIF(B5:AF5,"✓")</f>
        <v>0</v>
      </c>
      <c r="AH5" s="3">
        <v>31</v>
      </c>
      <c r="AI5" s="5">
        <f t="shared" ref="AI5:AI14" si="1">IF(AH5=0,0,AG5/AH5)</f>
        <v>0</v>
      </c>
    </row>
    <row r="6" spans="1:35" ht="27.95" customHeight="1" x14ac:dyDescent="0.3">
      <c r="A6" s="67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">
        <f t="shared" si="0"/>
        <v>0</v>
      </c>
      <c r="AH6" s="3">
        <v>22</v>
      </c>
      <c r="AI6" s="5">
        <f t="shared" si="1"/>
        <v>0</v>
      </c>
    </row>
    <row r="7" spans="1:35" ht="27.95" customHeight="1" x14ac:dyDescent="0.3">
      <c r="A7" s="67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">
        <f t="shared" si="0"/>
        <v>0</v>
      </c>
      <c r="AH7" s="3">
        <v>31</v>
      </c>
      <c r="AI7" s="5">
        <f t="shared" si="1"/>
        <v>0</v>
      </c>
    </row>
    <row r="8" spans="1:35" ht="27.95" customHeight="1" x14ac:dyDescent="0.3">
      <c r="A8" s="67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">
        <f t="shared" si="0"/>
        <v>0</v>
      </c>
      <c r="AH8" s="3">
        <v>31</v>
      </c>
      <c r="AI8" s="5">
        <f t="shared" si="1"/>
        <v>0</v>
      </c>
    </row>
    <row r="9" spans="1:35" ht="27.95" customHeight="1" x14ac:dyDescent="0.3">
      <c r="A9" s="67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">
        <f t="shared" si="0"/>
        <v>0</v>
      </c>
      <c r="AH9" s="3">
        <v>31</v>
      </c>
      <c r="AI9" s="5">
        <f t="shared" si="1"/>
        <v>0</v>
      </c>
    </row>
    <row r="10" spans="1:35" ht="27.95" customHeight="1" x14ac:dyDescent="0.3">
      <c r="A10" s="67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">
        <f t="shared" si="0"/>
        <v>0</v>
      </c>
      <c r="AH10" s="3">
        <v>26</v>
      </c>
      <c r="AI10" s="5">
        <f t="shared" si="1"/>
        <v>0</v>
      </c>
    </row>
    <row r="11" spans="1:35" ht="27.95" customHeight="1" x14ac:dyDescent="0.3">
      <c r="A11" s="67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">
        <f t="shared" si="0"/>
        <v>0</v>
      </c>
      <c r="AH11" s="3">
        <v>22</v>
      </c>
      <c r="AI11" s="5">
        <f t="shared" si="1"/>
        <v>0</v>
      </c>
    </row>
    <row r="12" spans="1:35" ht="27.95" customHeight="1" x14ac:dyDescent="0.3">
      <c r="A12" s="67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">
        <f t="shared" si="0"/>
        <v>0</v>
      </c>
      <c r="AH12" s="3">
        <v>31</v>
      </c>
      <c r="AI12" s="5">
        <f t="shared" si="1"/>
        <v>0</v>
      </c>
    </row>
    <row r="13" spans="1:35" ht="27.95" customHeight="1" x14ac:dyDescent="0.3">
      <c r="A13" s="67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">
        <f t="shared" si="0"/>
        <v>0</v>
      </c>
      <c r="AH13" s="3">
        <v>16</v>
      </c>
      <c r="AI13" s="5">
        <f t="shared" si="1"/>
        <v>0</v>
      </c>
    </row>
    <row r="14" spans="1:35" ht="27.95" customHeight="1" x14ac:dyDescent="0.3">
      <c r="A14" s="67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">
        <f t="shared" si="0"/>
        <v>0</v>
      </c>
      <c r="AH14" s="3">
        <v>13</v>
      </c>
      <c r="AI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SUM(AG5:AG14)</f>
        <v>0</v>
      </c>
      <c r="B19" s="12"/>
      <c r="C19" s="12"/>
      <c r="E19" s="17">
        <f>IFERROR(AVERAGE(AI5:AI14),0)</f>
        <v>0</v>
      </c>
      <c r="F19" s="17"/>
      <c r="G19" s="17"/>
      <c r="I19" s="19">
        <f>COUNTIF(AI5:AI14,"&gt;=1")</f>
        <v>0</v>
      </c>
      <c r="J19" s="19"/>
      <c r="K19" s="19"/>
    </row>
    <row r="20" spans="1:11" ht="15.75" thickTop="1" x14ac:dyDescent="0.25"/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{305777BA-D884-4597-B0DC-DD17CBF83A84}</x14:id>
        </ext>
      </extLst>
    </cfRule>
  </conditionalFormatting>
  <conditionalFormatting sqref="B5:AF14">
    <cfRule type="cellIs" dxfId="7" priority="3" operator="equal">
      <formula>"✓"</formula>
    </cfRule>
  </conditionalFormatting>
  <dataValidations count="1">
    <dataValidation type="list" allowBlank="1" showInputMessage="1" showErrorMessage="1" sqref="B5:AF14" xr:uid="{CA6BB99A-6FAA-415E-AB17-E6307AA2F875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5777BA-D884-4597-B0DC-DD17CBF83A8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0693-42B5-47F1-B291-FE8E0AF1C0C7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1" width="6.7109375" customWidth="1"/>
    <col min="32" max="33" width="10.42578125" customWidth="1"/>
    <col min="34" max="34" width="14.28515625" customWidth="1"/>
  </cols>
  <sheetData>
    <row r="1" spans="1:35" ht="45" customHeight="1" x14ac:dyDescent="0.45">
      <c r="A1" s="56" t="str">
        <f>"🎯 HABIT TRACKER - JUNE "&amp;Dashboard!B1</f>
        <v xml:space="preserve">🎯 HABIT TRACKER - JUNE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63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63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 t="s">
        <v>2</v>
      </c>
      <c r="AG4" s="31" t="s">
        <v>3</v>
      </c>
      <c r="AH4" s="31" t="s">
        <v>4</v>
      </c>
      <c r="AI4" s="31"/>
    </row>
    <row r="5" spans="1:35" ht="27.95" customHeight="1" x14ac:dyDescent="0.3">
      <c r="A5" s="68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7">
        <f t="shared" ref="AF5:AF14" si="0">COUNTIF(B5:AE5,"✓")</f>
        <v>0</v>
      </c>
      <c r="AG5" s="3">
        <v>30</v>
      </c>
      <c r="AH5" s="5">
        <f t="shared" ref="AH5:AH14" si="1">IF(AG5=0,0,AF5/AG5)</f>
        <v>0</v>
      </c>
    </row>
    <row r="6" spans="1:35" ht="27.95" customHeight="1" x14ac:dyDescent="0.3">
      <c r="A6" s="68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7">
        <f t="shared" si="0"/>
        <v>0</v>
      </c>
      <c r="AG6" s="3">
        <v>21</v>
      </c>
      <c r="AH6" s="5">
        <f t="shared" si="1"/>
        <v>0</v>
      </c>
    </row>
    <row r="7" spans="1:35" ht="27.95" customHeight="1" x14ac:dyDescent="0.3">
      <c r="A7" s="68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7">
        <f t="shared" si="0"/>
        <v>0</v>
      </c>
      <c r="AG7" s="3">
        <v>30</v>
      </c>
      <c r="AH7" s="5">
        <f t="shared" si="1"/>
        <v>0</v>
      </c>
    </row>
    <row r="8" spans="1:35" ht="27.95" customHeight="1" x14ac:dyDescent="0.3">
      <c r="A8" s="68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7">
        <f t="shared" si="0"/>
        <v>0</v>
      </c>
      <c r="AG8" s="3">
        <v>30</v>
      </c>
      <c r="AH8" s="5">
        <f t="shared" si="1"/>
        <v>0</v>
      </c>
    </row>
    <row r="9" spans="1:35" ht="27.95" customHeight="1" x14ac:dyDescent="0.3">
      <c r="A9" s="68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7">
        <f t="shared" si="0"/>
        <v>0</v>
      </c>
      <c r="AG9" s="3">
        <v>30</v>
      </c>
      <c r="AH9" s="5">
        <f t="shared" si="1"/>
        <v>0</v>
      </c>
    </row>
    <row r="10" spans="1:35" ht="27.95" customHeight="1" x14ac:dyDescent="0.3">
      <c r="A10" s="68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7">
        <f t="shared" si="0"/>
        <v>0</v>
      </c>
      <c r="AG10" s="3">
        <v>25</v>
      </c>
      <c r="AH10" s="5">
        <f t="shared" si="1"/>
        <v>0</v>
      </c>
    </row>
    <row r="11" spans="1:35" ht="27.95" customHeight="1" x14ac:dyDescent="0.3">
      <c r="A11" s="68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7">
        <f t="shared" si="0"/>
        <v>0</v>
      </c>
      <c r="AG11" s="3">
        <v>21</v>
      </c>
      <c r="AH11" s="5">
        <f t="shared" si="1"/>
        <v>0</v>
      </c>
    </row>
    <row r="12" spans="1:35" ht="27.95" customHeight="1" x14ac:dyDescent="0.3">
      <c r="A12" s="68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7">
        <f t="shared" si="0"/>
        <v>0</v>
      </c>
      <c r="AG12" s="3">
        <v>30</v>
      </c>
      <c r="AH12" s="5">
        <f t="shared" si="1"/>
        <v>0</v>
      </c>
    </row>
    <row r="13" spans="1:35" ht="27.95" customHeight="1" x14ac:dyDescent="0.3">
      <c r="A13" s="68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7">
        <f t="shared" si="0"/>
        <v>0</v>
      </c>
      <c r="AG13" s="3">
        <v>15</v>
      </c>
      <c r="AH13" s="5">
        <f t="shared" si="1"/>
        <v>0</v>
      </c>
    </row>
    <row r="14" spans="1:35" ht="27.95" customHeight="1" x14ac:dyDescent="0.3">
      <c r="A14" s="68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7">
        <f t="shared" si="0"/>
        <v>0</v>
      </c>
      <c r="AG14" s="3">
        <v>13</v>
      </c>
      <c r="AH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SUM(AF5:AF14)</f>
        <v>0</v>
      </c>
      <c r="B19" s="12"/>
      <c r="C19" s="12"/>
      <c r="E19" s="17">
        <f>IFERROR(AVERAGE(AH5:AH14),0)</f>
        <v>0</v>
      </c>
      <c r="F19" s="17"/>
      <c r="G19" s="17"/>
      <c r="I19" s="19">
        <f>COUNTIF(AH5:AH14,"&gt;=1")</f>
        <v>0</v>
      </c>
      <c r="J19" s="19"/>
      <c r="K19" s="19"/>
    </row>
    <row r="20" spans="1:11" ht="15.75" thickTop="1" x14ac:dyDescent="0.25"/>
  </sheetData>
  <mergeCells count="9">
    <mergeCell ref="A1:AH1"/>
    <mergeCell ref="A2:AH2"/>
    <mergeCell ref="A19:C19"/>
    <mergeCell ref="A16:AH16"/>
    <mergeCell ref="A18:C18"/>
    <mergeCell ref="E18:G18"/>
    <mergeCell ref="E19:G19"/>
    <mergeCell ref="I18:K18"/>
    <mergeCell ref="I19:K19"/>
  </mergeCells>
  <conditionalFormatting sqref="AH5:AH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{F7046F89-2FB1-48FF-83F1-62AE77ECA16E}</x14:id>
        </ext>
      </extLst>
    </cfRule>
  </conditionalFormatting>
  <conditionalFormatting sqref="B5:AE14">
    <cfRule type="cellIs" dxfId="6" priority="3" operator="equal">
      <formula>"✓"</formula>
    </cfRule>
  </conditionalFormatting>
  <dataValidations count="1">
    <dataValidation type="list" allowBlank="1" showInputMessage="1" showErrorMessage="1" sqref="B5:AE14" xr:uid="{420B9DC2-1F6D-4895-85C2-86F3723A8BD7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046F89-2FB1-48FF-83F1-62AE77ECA16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AH5:AH14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2359-59BC-4AAB-B6B4-0DB884304654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JULY "&amp;Dashboard!B1</f>
        <v xml:space="preserve">🎯 HABIT TRACKER - JULY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69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">
        <f t="shared" ref="AG5:AG14" si="0">COUNTIF(B5:AF5,"✓")</f>
        <v>0</v>
      </c>
      <c r="AH5" s="3">
        <v>31</v>
      </c>
      <c r="AI5" s="5">
        <f t="shared" ref="AI5:AI14" si="1">IF(AH5=0,0,AG5/AH5)</f>
        <v>0</v>
      </c>
    </row>
    <row r="6" spans="1:35" ht="27.95" customHeight="1" x14ac:dyDescent="0.3">
      <c r="A6" s="69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">
        <f t="shared" si="0"/>
        <v>0</v>
      </c>
      <c r="AH6" s="3">
        <v>22</v>
      </c>
      <c r="AI6" s="5">
        <f t="shared" si="1"/>
        <v>0</v>
      </c>
    </row>
    <row r="7" spans="1:35" ht="27.95" customHeight="1" x14ac:dyDescent="0.3">
      <c r="A7" s="69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">
        <f t="shared" si="0"/>
        <v>0</v>
      </c>
      <c r="AH7" s="3">
        <v>31</v>
      </c>
      <c r="AI7" s="5">
        <f t="shared" si="1"/>
        <v>0</v>
      </c>
    </row>
    <row r="8" spans="1:35" ht="27.95" customHeight="1" x14ac:dyDescent="0.3">
      <c r="A8" s="69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">
        <f t="shared" si="0"/>
        <v>0</v>
      </c>
      <c r="AH8" s="3">
        <v>31</v>
      </c>
      <c r="AI8" s="5">
        <f t="shared" si="1"/>
        <v>0</v>
      </c>
    </row>
    <row r="9" spans="1:35" ht="27.95" customHeight="1" x14ac:dyDescent="0.3">
      <c r="A9" s="69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">
        <f t="shared" si="0"/>
        <v>0</v>
      </c>
      <c r="AH9" s="3">
        <v>31</v>
      </c>
      <c r="AI9" s="5">
        <f t="shared" si="1"/>
        <v>0</v>
      </c>
    </row>
    <row r="10" spans="1:35" ht="27.95" customHeight="1" x14ac:dyDescent="0.3">
      <c r="A10" s="69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">
        <f t="shared" si="0"/>
        <v>0</v>
      </c>
      <c r="AH10" s="3">
        <v>26</v>
      </c>
      <c r="AI10" s="5">
        <f t="shared" si="1"/>
        <v>0</v>
      </c>
    </row>
    <row r="11" spans="1:35" ht="27.95" customHeight="1" x14ac:dyDescent="0.3">
      <c r="A11" s="69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">
        <f t="shared" si="0"/>
        <v>0</v>
      </c>
      <c r="AH11" s="3">
        <v>22</v>
      </c>
      <c r="AI11" s="5">
        <f t="shared" si="1"/>
        <v>0</v>
      </c>
    </row>
    <row r="12" spans="1:35" ht="27.95" customHeight="1" x14ac:dyDescent="0.3">
      <c r="A12" s="69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">
        <f t="shared" si="0"/>
        <v>0</v>
      </c>
      <c r="AH12" s="3">
        <v>31</v>
      </c>
      <c r="AI12" s="5">
        <f t="shared" si="1"/>
        <v>0</v>
      </c>
    </row>
    <row r="13" spans="1:35" ht="27.95" customHeight="1" x14ac:dyDescent="0.3">
      <c r="A13" s="69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">
        <f t="shared" si="0"/>
        <v>0</v>
      </c>
      <c r="AH13" s="3">
        <v>16</v>
      </c>
      <c r="AI13" s="5">
        <f t="shared" si="1"/>
        <v>0</v>
      </c>
    </row>
    <row r="14" spans="1:35" ht="27.95" customHeight="1" x14ac:dyDescent="0.3">
      <c r="A14" s="69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">
        <f t="shared" si="0"/>
        <v>0</v>
      </c>
      <c r="AH14" s="3">
        <v>13</v>
      </c>
      <c r="AI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SUM(AG5:AG14)</f>
        <v>0</v>
      </c>
      <c r="B19" s="12"/>
      <c r="C19" s="12"/>
      <c r="E19" s="17">
        <f>IFERROR(AVERAGE(AI5:AI14),0)</f>
        <v>0</v>
      </c>
      <c r="F19" s="17"/>
      <c r="G19" s="17"/>
      <c r="I19" s="19">
        <f>COUNTIF(AI5:AI14,"&gt;=1")</f>
        <v>0</v>
      </c>
      <c r="J19" s="19"/>
      <c r="K19" s="19"/>
    </row>
    <row r="20" spans="1:11" ht="15.75" thickTop="1" x14ac:dyDescent="0.25"/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{7FB81B64-EB66-4B1B-BDD3-200BB17A4D6B}</x14:id>
        </ext>
      </extLst>
    </cfRule>
  </conditionalFormatting>
  <conditionalFormatting sqref="B5:AF14">
    <cfRule type="cellIs" dxfId="5" priority="3" operator="equal">
      <formula>"✓"</formula>
    </cfRule>
  </conditionalFormatting>
  <dataValidations count="1">
    <dataValidation type="list" allowBlank="1" showInputMessage="1" showErrorMessage="1" sqref="B5:AF14" xr:uid="{D18B1CE8-8418-45A8-BB41-B76FFC611D9F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81B64-EB66-4B1B-BDD3-200BB17A4D6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AF76-C1AC-4D7B-AFC2-C1A9FD59FA13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AUGUST "&amp;Dashboard!B1</f>
        <v xml:space="preserve">🎯 HABIT TRACKER - AUGUST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70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">
        <f t="shared" ref="AG5:AG14" si="0">COUNTIF(B5:AF5,"✓")</f>
        <v>0</v>
      </c>
      <c r="AH5" s="3">
        <v>31</v>
      </c>
      <c r="AI5" s="5">
        <f t="shared" ref="AI5:AI14" si="1">IF(AH5=0,0,AG5/AH5)</f>
        <v>0</v>
      </c>
    </row>
    <row r="6" spans="1:35" ht="27.95" customHeight="1" x14ac:dyDescent="0.3">
      <c r="A6" s="70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">
        <f t="shared" si="0"/>
        <v>0</v>
      </c>
      <c r="AH6" s="3">
        <v>22</v>
      </c>
      <c r="AI6" s="5">
        <f t="shared" si="1"/>
        <v>0</v>
      </c>
    </row>
    <row r="7" spans="1:35" ht="27.95" customHeight="1" x14ac:dyDescent="0.3">
      <c r="A7" s="70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">
        <f t="shared" si="0"/>
        <v>0</v>
      </c>
      <c r="AH7" s="3">
        <v>31</v>
      </c>
      <c r="AI7" s="5">
        <f t="shared" si="1"/>
        <v>0</v>
      </c>
    </row>
    <row r="8" spans="1:35" ht="27.95" customHeight="1" x14ac:dyDescent="0.3">
      <c r="A8" s="70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">
        <f t="shared" si="0"/>
        <v>0</v>
      </c>
      <c r="AH8" s="3">
        <v>31</v>
      </c>
      <c r="AI8" s="5">
        <f t="shared" si="1"/>
        <v>0</v>
      </c>
    </row>
    <row r="9" spans="1:35" ht="27.95" customHeight="1" x14ac:dyDescent="0.3">
      <c r="A9" s="70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">
        <f t="shared" si="0"/>
        <v>0</v>
      </c>
      <c r="AH9" s="3">
        <v>31</v>
      </c>
      <c r="AI9" s="5">
        <f t="shared" si="1"/>
        <v>0</v>
      </c>
    </row>
    <row r="10" spans="1:35" ht="27.95" customHeight="1" x14ac:dyDescent="0.3">
      <c r="A10" s="70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">
        <f t="shared" si="0"/>
        <v>0</v>
      </c>
      <c r="AH10" s="3">
        <v>26</v>
      </c>
      <c r="AI10" s="5">
        <f t="shared" si="1"/>
        <v>0</v>
      </c>
    </row>
    <row r="11" spans="1:35" ht="27.95" customHeight="1" x14ac:dyDescent="0.3">
      <c r="A11" s="70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">
        <f t="shared" si="0"/>
        <v>0</v>
      </c>
      <c r="AH11" s="3">
        <v>22</v>
      </c>
      <c r="AI11" s="5">
        <f t="shared" si="1"/>
        <v>0</v>
      </c>
    </row>
    <row r="12" spans="1:35" ht="27.95" customHeight="1" x14ac:dyDescent="0.3">
      <c r="A12" s="70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">
        <f t="shared" si="0"/>
        <v>0</v>
      </c>
      <c r="AH12" s="3">
        <v>31</v>
      </c>
      <c r="AI12" s="5">
        <f t="shared" si="1"/>
        <v>0</v>
      </c>
    </row>
    <row r="13" spans="1:35" ht="27.95" customHeight="1" x14ac:dyDescent="0.3">
      <c r="A13" s="70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">
        <f t="shared" si="0"/>
        <v>0</v>
      </c>
      <c r="AH13" s="3">
        <v>16</v>
      </c>
      <c r="AI13" s="5">
        <f t="shared" si="1"/>
        <v>0</v>
      </c>
    </row>
    <row r="14" spans="1:35" ht="27.95" customHeight="1" x14ac:dyDescent="0.3">
      <c r="A14" s="70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">
        <f t="shared" si="0"/>
        <v>0</v>
      </c>
      <c r="AH14" s="3">
        <v>13</v>
      </c>
      <c r="AI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SUM(AG5:AG14)</f>
        <v>0</v>
      </c>
      <c r="B19" s="12"/>
      <c r="C19" s="12"/>
      <c r="E19" s="17">
        <f>IFERROR(AVERAGE(AI5:AI14),0)</f>
        <v>0</v>
      </c>
      <c r="F19" s="17"/>
      <c r="G19" s="17"/>
      <c r="I19" s="19">
        <f>COUNTIF(AI5:AI14,"&gt;=1")</f>
        <v>0</v>
      </c>
      <c r="J19" s="19"/>
      <c r="K19" s="19"/>
    </row>
    <row r="20" spans="1:11" ht="15.75" thickTop="1" x14ac:dyDescent="0.25"/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{9EA6941E-CA18-42D8-909B-D494D01877C4}</x14:id>
        </ext>
      </extLst>
    </cfRule>
  </conditionalFormatting>
  <conditionalFormatting sqref="B5:AF14">
    <cfRule type="cellIs" dxfId="4" priority="3" operator="equal">
      <formula>"✓"</formula>
    </cfRule>
  </conditionalFormatting>
  <dataValidations count="1">
    <dataValidation type="list" allowBlank="1" showInputMessage="1" showErrorMessage="1" sqref="B5:AF14" xr:uid="{F6D0D4C8-A8C8-41D0-82EE-F744A52A8842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6941E-CA18-42D8-909B-D494D01877C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18D7-4D1F-4561-BA0A-DE530AFBC089}">
  <dimension ref="A1:AI20"/>
  <sheetViews>
    <sheetView showGridLines="0" zoomScale="60" zoomScaleNormal="6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1" width="6.7109375" customWidth="1"/>
    <col min="32" max="33" width="10.42578125" customWidth="1"/>
    <col min="34" max="34" width="14.28515625" customWidth="1"/>
  </cols>
  <sheetData>
    <row r="1" spans="1:35" ht="45" customHeight="1" x14ac:dyDescent="0.45">
      <c r="A1" s="56" t="str">
        <f>"🎯 HABIT TRACKER - SEPTEMBER "&amp;Dashboard!B1</f>
        <v xml:space="preserve">🎯 HABIT TRACKER - SEPTEMBER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63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63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 t="s">
        <v>2</v>
      </c>
      <c r="AG4" s="31" t="s">
        <v>3</v>
      </c>
      <c r="AH4" s="31" t="s">
        <v>4</v>
      </c>
      <c r="AI4" s="31"/>
    </row>
    <row r="5" spans="1:35" ht="27.95" customHeight="1" x14ac:dyDescent="0.3">
      <c r="A5" s="71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7">
        <f t="shared" ref="AF5:AF14" si="0">COUNTIF(B5:AE5,"✓")</f>
        <v>0</v>
      </c>
      <c r="AG5" s="3">
        <v>30</v>
      </c>
      <c r="AH5" s="5">
        <f t="shared" ref="AH5:AH14" si="1">IF(AG5=0,0,AF5/AG5)</f>
        <v>0</v>
      </c>
    </row>
    <row r="6" spans="1:35" ht="27.95" customHeight="1" x14ac:dyDescent="0.3">
      <c r="A6" s="71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7">
        <f t="shared" si="0"/>
        <v>0</v>
      </c>
      <c r="AG6" s="3">
        <v>21</v>
      </c>
      <c r="AH6" s="5">
        <f t="shared" si="1"/>
        <v>0</v>
      </c>
    </row>
    <row r="7" spans="1:35" ht="27.95" customHeight="1" x14ac:dyDescent="0.3">
      <c r="A7" s="71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7">
        <f t="shared" si="0"/>
        <v>0</v>
      </c>
      <c r="AG7" s="3">
        <v>30</v>
      </c>
      <c r="AH7" s="5">
        <f t="shared" si="1"/>
        <v>0</v>
      </c>
    </row>
    <row r="8" spans="1:35" ht="27.95" customHeight="1" x14ac:dyDescent="0.3">
      <c r="A8" s="71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7">
        <f t="shared" si="0"/>
        <v>0</v>
      </c>
      <c r="AG8" s="3">
        <v>30</v>
      </c>
      <c r="AH8" s="5">
        <f t="shared" si="1"/>
        <v>0</v>
      </c>
    </row>
    <row r="9" spans="1:35" ht="27.95" customHeight="1" x14ac:dyDescent="0.3">
      <c r="A9" s="71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7">
        <f t="shared" si="0"/>
        <v>0</v>
      </c>
      <c r="AG9" s="3">
        <v>30</v>
      </c>
      <c r="AH9" s="5">
        <f t="shared" si="1"/>
        <v>0</v>
      </c>
    </row>
    <row r="10" spans="1:35" ht="27.95" customHeight="1" x14ac:dyDescent="0.3">
      <c r="A10" s="71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7">
        <f t="shared" si="0"/>
        <v>0</v>
      </c>
      <c r="AG10" s="3">
        <v>25</v>
      </c>
      <c r="AH10" s="5">
        <f t="shared" si="1"/>
        <v>0</v>
      </c>
    </row>
    <row r="11" spans="1:35" ht="27.95" customHeight="1" x14ac:dyDescent="0.3">
      <c r="A11" s="71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7">
        <f t="shared" si="0"/>
        <v>0</v>
      </c>
      <c r="AG11" s="3">
        <v>21</v>
      </c>
      <c r="AH11" s="5">
        <f t="shared" si="1"/>
        <v>0</v>
      </c>
    </row>
    <row r="12" spans="1:35" ht="27.95" customHeight="1" x14ac:dyDescent="0.3">
      <c r="A12" s="71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7">
        <f t="shared" si="0"/>
        <v>0</v>
      </c>
      <c r="AG12" s="3">
        <v>30</v>
      </c>
      <c r="AH12" s="5">
        <f t="shared" si="1"/>
        <v>0</v>
      </c>
    </row>
    <row r="13" spans="1:35" ht="27.95" customHeight="1" x14ac:dyDescent="0.3">
      <c r="A13" s="71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7">
        <f t="shared" si="0"/>
        <v>0</v>
      </c>
      <c r="AG13" s="3">
        <v>15</v>
      </c>
      <c r="AH13" s="5">
        <f t="shared" si="1"/>
        <v>0</v>
      </c>
    </row>
    <row r="14" spans="1:35" ht="27.95" customHeight="1" x14ac:dyDescent="0.3">
      <c r="A14" s="71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7">
        <f t="shared" si="0"/>
        <v>0</v>
      </c>
      <c r="AG14" s="3">
        <v>13</v>
      </c>
      <c r="AH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SUM(AF5:AF14)</f>
        <v>0</v>
      </c>
      <c r="B19" s="12"/>
      <c r="C19" s="12"/>
      <c r="E19" s="17">
        <f>IFERROR(AVERAGE(AH5:AH14),0)</f>
        <v>0</v>
      </c>
      <c r="F19" s="17"/>
      <c r="G19" s="17"/>
      <c r="I19" s="19">
        <f>COUNTIF(AH5:AH14,"&gt;=1")</f>
        <v>0</v>
      </c>
      <c r="J19" s="19"/>
      <c r="K19" s="19"/>
    </row>
    <row r="20" spans="1:11" ht="15.75" thickTop="1" x14ac:dyDescent="0.25"/>
  </sheetData>
  <mergeCells count="9">
    <mergeCell ref="A1:AH1"/>
    <mergeCell ref="A2:AH2"/>
    <mergeCell ref="A19:C19"/>
    <mergeCell ref="A16:AH16"/>
    <mergeCell ref="A18:C18"/>
    <mergeCell ref="E18:G18"/>
    <mergeCell ref="E19:G19"/>
    <mergeCell ref="I18:K18"/>
    <mergeCell ref="I19:K19"/>
  </mergeCells>
  <conditionalFormatting sqref="AH5:AH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{DE13ADBA-59AD-4EA2-B74D-F0EBF5A12B84}</x14:id>
        </ext>
      </extLst>
    </cfRule>
  </conditionalFormatting>
  <conditionalFormatting sqref="B5:AE14">
    <cfRule type="cellIs" dxfId="3" priority="3" operator="equal">
      <formula>"✓"</formula>
    </cfRule>
  </conditionalFormatting>
  <dataValidations count="1">
    <dataValidation type="list" allowBlank="1" showInputMessage="1" showErrorMessage="1" sqref="B5:AE14" xr:uid="{1ED985CC-7121-4A81-AB35-0059D8BF4EA9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13ADBA-59AD-4EA2-B74D-F0EBF5A12B8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AH5:AH14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6E7C-D881-475E-9774-7C8FCD080666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OCTOBER "&amp;Dashboard!B1</f>
        <v xml:space="preserve">🎯 HABIT TRACKER - OCTOBER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72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">
        <f t="shared" ref="AG5:AG14" si="0">COUNTIF(B5:AF5,"✓")</f>
        <v>0</v>
      </c>
      <c r="AH5" s="3">
        <v>31</v>
      </c>
      <c r="AI5" s="5">
        <f t="shared" ref="AI5:AI14" si="1">IF(AH5=0,0,AG5/AH5)</f>
        <v>0</v>
      </c>
    </row>
    <row r="6" spans="1:35" ht="27.95" customHeight="1" x14ac:dyDescent="0.3">
      <c r="A6" s="72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">
        <f t="shared" si="0"/>
        <v>0</v>
      </c>
      <c r="AH6" s="3">
        <v>22</v>
      </c>
      <c r="AI6" s="5">
        <f t="shared" si="1"/>
        <v>0</v>
      </c>
    </row>
    <row r="7" spans="1:35" ht="27.95" customHeight="1" x14ac:dyDescent="0.3">
      <c r="A7" s="72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">
        <f t="shared" si="0"/>
        <v>0</v>
      </c>
      <c r="AH7" s="3">
        <v>31</v>
      </c>
      <c r="AI7" s="5">
        <f t="shared" si="1"/>
        <v>0</v>
      </c>
    </row>
    <row r="8" spans="1:35" ht="27.95" customHeight="1" x14ac:dyDescent="0.3">
      <c r="A8" s="72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">
        <f t="shared" si="0"/>
        <v>0</v>
      </c>
      <c r="AH8" s="3">
        <v>31</v>
      </c>
      <c r="AI8" s="5">
        <f t="shared" si="1"/>
        <v>0</v>
      </c>
    </row>
    <row r="9" spans="1:35" ht="27.95" customHeight="1" x14ac:dyDescent="0.3">
      <c r="A9" s="72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">
        <f t="shared" si="0"/>
        <v>0</v>
      </c>
      <c r="AH9" s="3">
        <v>31</v>
      </c>
      <c r="AI9" s="5">
        <f t="shared" si="1"/>
        <v>0</v>
      </c>
    </row>
    <row r="10" spans="1:35" ht="27.95" customHeight="1" x14ac:dyDescent="0.3">
      <c r="A10" s="72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">
        <f t="shared" si="0"/>
        <v>0</v>
      </c>
      <c r="AH10" s="3">
        <v>26</v>
      </c>
      <c r="AI10" s="5">
        <f t="shared" si="1"/>
        <v>0</v>
      </c>
    </row>
    <row r="11" spans="1:35" ht="27.95" customHeight="1" x14ac:dyDescent="0.3">
      <c r="A11" s="72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">
        <f t="shared" si="0"/>
        <v>0</v>
      </c>
      <c r="AH11" s="3">
        <v>22</v>
      </c>
      <c r="AI11" s="5">
        <f t="shared" si="1"/>
        <v>0</v>
      </c>
    </row>
    <row r="12" spans="1:35" ht="27.95" customHeight="1" x14ac:dyDescent="0.3">
      <c r="A12" s="72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">
        <f t="shared" si="0"/>
        <v>0</v>
      </c>
      <c r="AH12" s="3">
        <v>31</v>
      </c>
      <c r="AI12" s="5">
        <f t="shared" si="1"/>
        <v>0</v>
      </c>
    </row>
    <row r="13" spans="1:35" ht="27.95" customHeight="1" x14ac:dyDescent="0.3">
      <c r="A13" s="72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">
        <f t="shared" si="0"/>
        <v>0</v>
      </c>
      <c r="AH13" s="3">
        <v>16</v>
      </c>
      <c r="AI13" s="5">
        <f t="shared" si="1"/>
        <v>0</v>
      </c>
    </row>
    <row r="14" spans="1:35" ht="27.95" customHeight="1" x14ac:dyDescent="0.3">
      <c r="A14" s="72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">
        <f t="shared" si="0"/>
        <v>0</v>
      </c>
      <c r="AH14" s="3">
        <v>13</v>
      </c>
      <c r="AI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SUM(AG5:AG14)</f>
        <v>0</v>
      </c>
      <c r="B19" s="12"/>
      <c r="C19" s="12"/>
      <c r="E19" s="17">
        <f>IFERROR(AVERAGE(AI5:AI14),0)</f>
        <v>0</v>
      </c>
      <c r="F19" s="17"/>
      <c r="G19" s="17"/>
      <c r="I19" s="19">
        <f>COUNTIF(AI5:AI14,"&gt;=1")</f>
        <v>0</v>
      </c>
      <c r="J19" s="19"/>
      <c r="K19" s="19"/>
    </row>
    <row r="20" spans="1:11" ht="15.75" thickTop="1" x14ac:dyDescent="0.25"/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{40A34D39-1645-4DAF-8C04-DFB6EEBE3287}</x14:id>
        </ext>
      </extLst>
    </cfRule>
  </conditionalFormatting>
  <conditionalFormatting sqref="B5:AF14">
    <cfRule type="cellIs" dxfId="2" priority="3" operator="equal">
      <formula>"✓"</formula>
    </cfRule>
  </conditionalFormatting>
  <dataValidations count="1">
    <dataValidation type="list" allowBlank="1" showInputMessage="1" showErrorMessage="1" sqref="B5:AF14" xr:uid="{9742AAF2-05F6-42F9-AC46-08F83F88953C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A34D39-1645-4DAF-8C04-DFB6EEBE3287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5B7F-BF73-4333-B89F-B424D515D395}">
  <dimension ref="A1:AI20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1" width="6.7109375" customWidth="1"/>
    <col min="32" max="33" width="10.42578125" customWidth="1"/>
    <col min="34" max="34" width="14.28515625" customWidth="1"/>
  </cols>
  <sheetData>
    <row r="1" spans="1:35" ht="45" customHeight="1" x14ac:dyDescent="0.45">
      <c r="A1" s="56" t="str">
        <f>"🎯 HABIT TRACKER - NOVEMBER "&amp;Dashboard!B1</f>
        <v xml:space="preserve">🎯 HABIT TRACKER - NOVEMBER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63"/>
    </row>
    <row r="2" spans="1:35" ht="17.25" x14ac:dyDescent="0.3">
      <c r="A2" s="59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63"/>
    </row>
    <row r="4" spans="1:35" ht="30" customHeight="1" x14ac:dyDescent="0.25">
      <c r="A4" s="60" t="s">
        <v>1</v>
      </c>
      <c r="B4" s="61">
        <v>1</v>
      </c>
      <c r="C4" s="61">
        <v>2</v>
      </c>
      <c r="D4" s="61">
        <v>3</v>
      </c>
      <c r="E4" s="61">
        <v>4</v>
      </c>
      <c r="F4" s="61">
        <v>5</v>
      </c>
      <c r="G4" s="61">
        <v>6</v>
      </c>
      <c r="H4" s="61">
        <v>7</v>
      </c>
      <c r="I4" s="61">
        <v>8</v>
      </c>
      <c r="J4" s="61">
        <v>9</v>
      </c>
      <c r="K4" s="61">
        <v>10</v>
      </c>
      <c r="L4" s="61">
        <v>11</v>
      </c>
      <c r="M4" s="61">
        <v>12</v>
      </c>
      <c r="N4" s="61">
        <v>13</v>
      </c>
      <c r="O4" s="61">
        <v>14</v>
      </c>
      <c r="P4" s="61">
        <v>15</v>
      </c>
      <c r="Q4" s="61">
        <v>16</v>
      </c>
      <c r="R4" s="61">
        <v>17</v>
      </c>
      <c r="S4" s="61">
        <v>18</v>
      </c>
      <c r="T4" s="61">
        <v>19</v>
      </c>
      <c r="U4" s="61">
        <v>20</v>
      </c>
      <c r="V4" s="61">
        <v>21</v>
      </c>
      <c r="W4" s="61">
        <v>22</v>
      </c>
      <c r="X4" s="61">
        <v>23</v>
      </c>
      <c r="Y4" s="61">
        <v>24</v>
      </c>
      <c r="Z4" s="61">
        <v>25</v>
      </c>
      <c r="AA4" s="61">
        <v>26</v>
      </c>
      <c r="AB4" s="61">
        <v>27</v>
      </c>
      <c r="AC4" s="61">
        <v>28</v>
      </c>
      <c r="AD4" s="61">
        <v>29</v>
      </c>
      <c r="AE4" s="61">
        <v>30</v>
      </c>
      <c r="AF4" s="61" t="s">
        <v>2</v>
      </c>
      <c r="AG4" s="31" t="s">
        <v>3</v>
      </c>
      <c r="AH4" s="31" t="s">
        <v>4</v>
      </c>
      <c r="AI4" s="31"/>
    </row>
    <row r="5" spans="1:35" ht="27.95" customHeight="1" x14ac:dyDescent="0.3">
      <c r="A5" s="73" t="str">
        <f>January!A5</f>
        <v>💧 Drink 8 Glasses Water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7">
        <f t="shared" ref="AF5:AF14" si="0">COUNTIF(B5:AE5,"✓")</f>
        <v>0</v>
      </c>
      <c r="AG5" s="3">
        <v>30</v>
      </c>
      <c r="AH5" s="5">
        <f t="shared" ref="AH5:AH14" si="1">IF(AG5=0,0,AF5/AG5)</f>
        <v>0</v>
      </c>
    </row>
    <row r="6" spans="1:35" ht="27.95" customHeight="1" x14ac:dyDescent="0.3">
      <c r="A6" s="73" t="str">
        <f>January!A6</f>
        <v>🏃 Exercise 30 Minutes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7">
        <f t="shared" si="0"/>
        <v>0</v>
      </c>
      <c r="AG6" s="3">
        <v>21</v>
      </c>
      <c r="AH6" s="5">
        <f t="shared" si="1"/>
        <v>0</v>
      </c>
    </row>
    <row r="7" spans="1:35" ht="27.95" customHeight="1" x14ac:dyDescent="0.3">
      <c r="A7" s="73" t="str">
        <f>January!A7</f>
        <v>📚 Read 3 Pages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7">
        <f t="shared" si="0"/>
        <v>0</v>
      </c>
      <c r="AG7" s="3">
        <v>30</v>
      </c>
      <c r="AH7" s="5">
        <f t="shared" si="1"/>
        <v>0</v>
      </c>
    </row>
    <row r="8" spans="1:35" ht="27.95" customHeight="1" x14ac:dyDescent="0.3">
      <c r="A8" s="73" t="str">
        <f>January!A8</f>
        <v>🧘 Meditate 10 Minutes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7">
        <f t="shared" si="0"/>
        <v>0</v>
      </c>
      <c r="AG8" s="3">
        <v>30</v>
      </c>
      <c r="AH8" s="5">
        <f t="shared" si="1"/>
        <v>0</v>
      </c>
    </row>
    <row r="9" spans="1:35" ht="27.95" customHeight="1" x14ac:dyDescent="0.3">
      <c r="A9" s="73" t="str">
        <f>January!A9</f>
        <v>😴 Sleep Before 11 PM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7">
        <f t="shared" si="0"/>
        <v>0</v>
      </c>
      <c r="AG9" s="3">
        <v>30</v>
      </c>
      <c r="AH9" s="5">
        <f t="shared" si="1"/>
        <v>0</v>
      </c>
    </row>
    <row r="10" spans="1:35" ht="27.95" customHeight="1" x14ac:dyDescent="0.3">
      <c r="A10" s="73" t="str">
        <f>January!A10</f>
        <v>🥗 Eat Healthy Meals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7">
        <f t="shared" si="0"/>
        <v>0</v>
      </c>
      <c r="AG10" s="3">
        <v>25</v>
      </c>
      <c r="AH10" s="5">
        <f t="shared" si="1"/>
        <v>0</v>
      </c>
    </row>
    <row r="11" spans="1:35" ht="27.95" customHeight="1" x14ac:dyDescent="0.3">
      <c r="A11" s="73" t="str">
        <f>January!A11</f>
        <v>📝 Daily Journaling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7">
        <f t="shared" si="0"/>
        <v>0</v>
      </c>
      <c r="AG11" s="3">
        <v>21</v>
      </c>
      <c r="AH11" s="5">
        <f t="shared" si="1"/>
        <v>0</v>
      </c>
    </row>
    <row r="12" spans="1:35" ht="27.95" customHeight="1" x14ac:dyDescent="0.3">
      <c r="A12" s="73" t="str">
        <f>January!A12</f>
        <v>🚫 Reduce Social Media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7">
        <f t="shared" si="0"/>
        <v>0</v>
      </c>
      <c r="AG12" s="3">
        <v>30</v>
      </c>
      <c r="AH12" s="5">
        <f t="shared" si="1"/>
        <v>0</v>
      </c>
    </row>
    <row r="13" spans="1:35" ht="27.95" customHeight="1" x14ac:dyDescent="0.3">
      <c r="A13" s="73" t="str">
        <f>January!A13</f>
        <v>💪 Workout Routine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7">
        <f t="shared" si="0"/>
        <v>0</v>
      </c>
      <c r="AG13" s="3">
        <v>15</v>
      </c>
      <c r="AH13" s="5">
        <f t="shared" si="1"/>
        <v>0</v>
      </c>
    </row>
    <row r="14" spans="1:35" ht="27.95" customHeight="1" x14ac:dyDescent="0.3">
      <c r="A14" s="73" t="str">
        <f>January!A14</f>
        <v>🎨 Creative Activity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7">
        <f t="shared" si="0"/>
        <v>0</v>
      </c>
      <c r="AG14" s="3">
        <v>13</v>
      </c>
      <c r="AH14" s="5">
        <f t="shared" si="1"/>
        <v>0</v>
      </c>
    </row>
    <row r="16" spans="1:35" ht="35.1" customHeight="1" x14ac:dyDescent="0.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11" ht="15.75" thickBot="1" x14ac:dyDescent="0.3"/>
    <row r="18" spans="1:11" ht="24.95" customHeight="1" thickTop="1" x14ac:dyDescent="0.25">
      <c r="A18" s="15" t="s">
        <v>13</v>
      </c>
      <c r="B18" s="15"/>
      <c r="C18" s="15"/>
      <c r="E18" s="16" t="s">
        <v>14</v>
      </c>
      <c r="F18" s="16"/>
      <c r="G18" s="16"/>
      <c r="I18" s="18" t="s">
        <v>15</v>
      </c>
      <c r="J18" s="18"/>
      <c r="K18" s="18"/>
    </row>
    <row r="19" spans="1:11" ht="39.950000000000003" customHeight="1" thickBot="1" x14ac:dyDescent="0.45">
      <c r="A19" s="12">
        <f>SUM(AF5:AF14)</f>
        <v>0</v>
      </c>
      <c r="B19" s="12"/>
      <c r="C19" s="12"/>
      <c r="E19" s="17">
        <f>IFERROR(AVERAGE(AH5:AH14),0)</f>
        <v>0</v>
      </c>
      <c r="F19" s="17"/>
      <c r="G19" s="17"/>
      <c r="I19" s="19">
        <f>COUNTIF(AH5:AH14,"&gt;=1")</f>
        <v>0</v>
      </c>
      <c r="J19" s="19"/>
      <c r="K19" s="19"/>
    </row>
    <row r="20" spans="1:11" ht="15.75" thickTop="1" x14ac:dyDescent="0.25"/>
  </sheetData>
  <mergeCells count="9">
    <mergeCell ref="A1:AH1"/>
    <mergeCell ref="A2:AH2"/>
    <mergeCell ref="A19:C19"/>
    <mergeCell ref="A16:AH16"/>
    <mergeCell ref="A18:C18"/>
    <mergeCell ref="E18:G18"/>
    <mergeCell ref="E19:G19"/>
    <mergeCell ref="I18:K18"/>
    <mergeCell ref="I19:K19"/>
  </mergeCells>
  <conditionalFormatting sqref="AH5:AH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{4A9AF6C7-54F2-46D1-9561-FAD5EB605506}</x14:id>
        </ext>
      </extLst>
    </cfRule>
  </conditionalFormatting>
  <conditionalFormatting sqref="B5:AE14">
    <cfRule type="cellIs" dxfId="1" priority="3" operator="equal">
      <formula>"✓"</formula>
    </cfRule>
  </conditionalFormatting>
  <dataValidations count="1">
    <dataValidation type="list" allowBlank="1" showInputMessage="1" showErrorMessage="1" sqref="B5:AE14" xr:uid="{0A4AB4CD-A267-42A8-BA41-D28ED61913B5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AF6C7-54F2-46D1-9561-FAD5EB60550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AH5:AH14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1B98-BEF4-4752-9C94-B0EEB02B594D}">
  <dimension ref="A1:AI19"/>
  <sheetViews>
    <sheetView showGridLines="0" zoomScale="50" zoomScaleNormal="5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4.28515625" customWidth="1"/>
    <col min="2" max="32" width="6.7109375" customWidth="1"/>
    <col min="33" max="34" width="10.42578125" customWidth="1"/>
    <col min="35" max="35" width="14.28515625" customWidth="1"/>
  </cols>
  <sheetData>
    <row r="1" spans="1:35" ht="45" customHeight="1" x14ac:dyDescent="0.45">
      <c r="A1" s="56" t="str">
        <f>"🎯 HABIT TRACKER - DECEMBER "&amp;Dashboard!B1</f>
        <v xml:space="preserve">🎯 HABIT TRACKER - DECEMBER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x14ac:dyDescent="0.25">
      <c r="A2" s="74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4" spans="1:35" ht="30" customHeight="1" x14ac:dyDescent="0.25">
      <c r="A4" s="31" t="s">
        <v>1</v>
      </c>
      <c r="B4" s="31">
        <v>1</v>
      </c>
      <c r="C4" s="31">
        <v>2</v>
      </c>
      <c r="D4" s="31">
        <v>3</v>
      </c>
      <c r="E4" s="31">
        <v>4</v>
      </c>
      <c r="F4" s="31">
        <v>5</v>
      </c>
      <c r="G4" s="31">
        <v>6</v>
      </c>
      <c r="H4" s="31">
        <v>7</v>
      </c>
      <c r="I4" s="31">
        <v>8</v>
      </c>
      <c r="J4" s="31">
        <v>9</v>
      </c>
      <c r="K4" s="31">
        <v>10</v>
      </c>
      <c r="L4" s="31">
        <v>11</v>
      </c>
      <c r="M4" s="31">
        <v>12</v>
      </c>
      <c r="N4" s="31">
        <v>13</v>
      </c>
      <c r="O4" s="31">
        <v>14</v>
      </c>
      <c r="P4" s="31">
        <v>15</v>
      </c>
      <c r="Q4" s="31">
        <v>16</v>
      </c>
      <c r="R4" s="31">
        <v>17</v>
      </c>
      <c r="S4" s="31">
        <v>18</v>
      </c>
      <c r="T4" s="31">
        <v>19</v>
      </c>
      <c r="U4" s="31">
        <v>20</v>
      </c>
      <c r="V4" s="31">
        <v>21</v>
      </c>
      <c r="W4" s="31">
        <v>22</v>
      </c>
      <c r="X4" s="31">
        <v>23</v>
      </c>
      <c r="Y4" s="31">
        <v>24</v>
      </c>
      <c r="Z4" s="31">
        <v>25</v>
      </c>
      <c r="AA4" s="31">
        <v>26</v>
      </c>
      <c r="AB4" s="31">
        <v>27</v>
      </c>
      <c r="AC4" s="31">
        <v>28</v>
      </c>
      <c r="AD4" s="31">
        <v>29</v>
      </c>
      <c r="AE4" s="31">
        <v>30</v>
      </c>
      <c r="AF4" s="31">
        <v>31</v>
      </c>
      <c r="AG4" s="31" t="s">
        <v>2</v>
      </c>
      <c r="AH4" s="31" t="s">
        <v>3</v>
      </c>
      <c r="AI4" s="31" t="s">
        <v>4</v>
      </c>
    </row>
    <row r="5" spans="1:35" ht="27.95" customHeight="1" x14ac:dyDescent="0.3">
      <c r="A5" s="75" t="str">
        <f>January!A5</f>
        <v>💧 Drink 8 Glasses Water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">
        <f t="shared" ref="AG5:AG14" si="0">COUNTIF(B5:AF5,"✓")</f>
        <v>0</v>
      </c>
      <c r="AH5" s="3">
        <v>31</v>
      </c>
      <c r="AI5" s="5">
        <f t="shared" ref="AI5:AI14" si="1">IF(AH5=0,0,AG5/AH5)</f>
        <v>0</v>
      </c>
    </row>
    <row r="6" spans="1:35" ht="27.95" customHeight="1" x14ac:dyDescent="0.3">
      <c r="A6" s="75" t="str">
        <f>January!A6</f>
        <v>🏃 Exercise 30 Minutes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">
        <f t="shared" si="0"/>
        <v>0</v>
      </c>
      <c r="AH6" s="3">
        <v>22</v>
      </c>
      <c r="AI6" s="5">
        <f t="shared" si="1"/>
        <v>0</v>
      </c>
    </row>
    <row r="7" spans="1:35" ht="27.95" customHeight="1" x14ac:dyDescent="0.3">
      <c r="A7" s="75" t="str">
        <f>January!A7</f>
        <v>📚 Read 3 Pages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">
        <f t="shared" si="0"/>
        <v>0</v>
      </c>
      <c r="AH7" s="3">
        <v>31</v>
      </c>
      <c r="AI7" s="5">
        <f t="shared" si="1"/>
        <v>0</v>
      </c>
    </row>
    <row r="8" spans="1:35" ht="27.95" customHeight="1" x14ac:dyDescent="0.3">
      <c r="A8" s="75" t="str">
        <f>January!A8</f>
        <v>🧘 Meditate 10 Minutes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">
        <f t="shared" si="0"/>
        <v>0</v>
      </c>
      <c r="AH8" s="3">
        <v>31</v>
      </c>
      <c r="AI8" s="5">
        <f t="shared" si="1"/>
        <v>0</v>
      </c>
    </row>
    <row r="9" spans="1:35" ht="27.95" customHeight="1" x14ac:dyDescent="0.3">
      <c r="A9" s="75" t="str">
        <f>January!A9</f>
        <v>😴 Sleep Before 11 PM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">
        <f t="shared" si="0"/>
        <v>0</v>
      </c>
      <c r="AH9" s="3">
        <v>31</v>
      </c>
      <c r="AI9" s="5">
        <f t="shared" si="1"/>
        <v>0</v>
      </c>
    </row>
    <row r="10" spans="1:35" ht="27.95" customHeight="1" x14ac:dyDescent="0.3">
      <c r="A10" s="75" t="str">
        <f>January!A10</f>
        <v>🥗 Eat Healthy Meals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">
        <f t="shared" si="0"/>
        <v>0</v>
      </c>
      <c r="AH10" s="3">
        <v>26</v>
      </c>
      <c r="AI10" s="5">
        <f t="shared" si="1"/>
        <v>0</v>
      </c>
    </row>
    <row r="11" spans="1:35" ht="27.95" customHeight="1" x14ac:dyDescent="0.3">
      <c r="A11" s="75" t="str">
        <f>January!A11</f>
        <v>📝 Daily Journaling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">
        <f t="shared" si="0"/>
        <v>0</v>
      </c>
      <c r="AH11" s="3">
        <v>22</v>
      </c>
      <c r="AI11" s="5">
        <f t="shared" si="1"/>
        <v>0</v>
      </c>
    </row>
    <row r="12" spans="1:35" ht="27.95" customHeight="1" x14ac:dyDescent="0.3">
      <c r="A12" s="75" t="str">
        <f>January!A12</f>
        <v>🚫 Reduce Social Media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">
        <f t="shared" si="0"/>
        <v>0</v>
      </c>
      <c r="AH12" s="3">
        <v>31</v>
      </c>
      <c r="AI12" s="5">
        <f t="shared" si="1"/>
        <v>0</v>
      </c>
    </row>
    <row r="13" spans="1:35" ht="27.95" customHeight="1" x14ac:dyDescent="0.3">
      <c r="A13" s="75" t="str">
        <f>January!A13</f>
        <v>💪 Workout Routine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">
        <f t="shared" si="0"/>
        <v>0</v>
      </c>
      <c r="AH13" s="3">
        <v>16</v>
      </c>
      <c r="AI13" s="5">
        <f t="shared" si="1"/>
        <v>0</v>
      </c>
    </row>
    <row r="14" spans="1:35" ht="27.95" customHeight="1" x14ac:dyDescent="0.3">
      <c r="A14" s="75" t="str">
        <f>January!A14</f>
        <v>🎨 Creative Activity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">
        <f t="shared" si="0"/>
        <v>0</v>
      </c>
      <c r="AH14" s="3">
        <v>13</v>
      </c>
      <c r="AI14" s="5">
        <f t="shared" si="1"/>
        <v>0</v>
      </c>
    </row>
    <row r="16" spans="1:35" ht="35.1" customHeight="1" x14ac:dyDescent="0.35">
      <c r="A16" s="21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8" spans="1:11" ht="24.95" customHeight="1" x14ac:dyDescent="0.25">
      <c r="A18" s="22" t="s">
        <v>13</v>
      </c>
      <c r="B18" s="22"/>
      <c r="C18" s="22"/>
      <c r="E18" s="23" t="s">
        <v>14</v>
      </c>
      <c r="F18" s="23"/>
      <c r="G18" s="23"/>
      <c r="I18" s="25" t="s">
        <v>15</v>
      </c>
      <c r="J18" s="25"/>
      <c r="K18" s="25"/>
    </row>
    <row r="19" spans="1:11" ht="39.950000000000003" customHeight="1" x14ac:dyDescent="0.4">
      <c r="A19" s="20">
        <f>SUM(AG5:AG14)</f>
        <v>0</v>
      </c>
      <c r="B19" s="20"/>
      <c r="C19" s="20"/>
      <c r="E19" s="24">
        <f>IFERROR(AVERAGE(AI5:AI14),0)</f>
        <v>0</v>
      </c>
      <c r="F19" s="24"/>
      <c r="G19" s="24"/>
      <c r="I19" s="26">
        <f>COUNTIF(AI5:AI14,"&gt;=1")</f>
        <v>0</v>
      </c>
      <c r="J19" s="26"/>
      <c r="K19" s="26"/>
    </row>
  </sheetData>
  <mergeCells count="9">
    <mergeCell ref="A1:AI1"/>
    <mergeCell ref="A2:AI2"/>
    <mergeCell ref="A19:C19"/>
    <mergeCell ref="A16:AI16"/>
    <mergeCell ref="A18:C18"/>
    <mergeCell ref="E18:G18"/>
    <mergeCell ref="E19:G19"/>
    <mergeCell ref="I18:K18"/>
    <mergeCell ref="I19:K19"/>
  </mergeCells>
  <conditionalFormatting sqref="AI5:AI14">
    <cfRule type="dataBar" priority="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{F50BF5F0-2D87-436A-A663-653620BEE68C}</x14:id>
        </ext>
      </extLst>
    </cfRule>
  </conditionalFormatting>
  <conditionalFormatting sqref="B5:AF14">
    <cfRule type="cellIs" dxfId="0" priority="3" operator="equal">
      <formula>"✓"</formula>
    </cfRule>
  </conditionalFormatting>
  <dataValidations count="1">
    <dataValidation type="list" allowBlank="1" showInputMessage="1" showErrorMessage="1" sqref="B5:AF14" xr:uid="{A1A7EF27-C337-4D44-A5F6-F8484090467C}">
      <formula1>"✓"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0BF5F0-2D87-436A-A663-653620BEE68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AI5:AI14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📈 Analytics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Vishvambruth Javagal</dc:creator>
  <cp:lastModifiedBy>Vishvambruth Javagal</cp:lastModifiedBy>
  <dcterms:created xsi:type="dcterms:W3CDTF">2026-06-04T16:09:16Z</dcterms:created>
  <dcterms:modified xsi:type="dcterms:W3CDTF">2026-06-05T17:04:41Z</dcterms:modified>
</cp:coreProperties>
</file>