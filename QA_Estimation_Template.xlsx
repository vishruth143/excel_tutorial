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excel_tutorial\"/>
    </mc:Choice>
  </mc:AlternateContent>
  <xr:revisionPtr revIDLastSave="0" documentId="13_ncr:1_{14220DCF-13DB-4792-A702-734682E321AD}" xr6:coauthVersionLast="47" xr6:coauthVersionMax="47" xr10:uidLastSave="{00000000-0000-0000-0000-000000000000}"/>
  <bookViews>
    <workbookView xWindow="-120" yWindow="-120" windowWidth="29040" windowHeight="15720" tabRatio="732" xr2:uid="{00000000-000D-0000-FFFF-FFFF00000000}"/>
  </bookViews>
  <sheets>
    <sheet name="📋 Estimation Dashboard" sheetId="1" r:id="rId1"/>
    <sheet name="⚙️ Config" sheetId="2" r:id="rId2"/>
    <sheet name="📊 PERT Estimation" sheetId="3" r:id="rId3"/>
    <sheet name="🔺 Three-Point" sheetId="4" r:id="rId4"/>
    <sheet name="🃏 Story Points" sheetId="5" r:id="rId5"/>
    <sheet name="🔍 Analogy" sheetId="6" r:id="rId6"/>
    <sheet name="📐 UCP" sheetId="7" r:id="rId7"/>
    <sheet name="📝 Test Planning" sheetId="8" r:id="rId8"/>
    <sheet name="💰 Budget Planner" sheetId="9" r:id="rId9"/>
    <sheet name="📅 Sprint Resource Plan" sheetId="10" r:id="rId10"/>
    <sheet name="📖 How to Use" sheetId="11" r:id="rId11"/>
  </sheets>
  <definedNames>
    <definedName name="_xlnm.Print_Area" localSheetId="0">'📋 Estimation Dashboard'!$A$1:$O$33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0" l="1"/>
  <c r="K8" i="10"/>
  <c r="K9" i="10"/>
  <c r="K10" i="10"/>
  <c r="K11" i="10"/>
  <c r="K12" i="10"/>
  <c r="K13" i="10"/>
  <c r="K14" i="10"/>
  <c r="K15" i="10"/>
  <c r="E12" i="10"/>
  <c r="F12" i="10" s="1"/>
  <c r="E9" i="10"/>
  <c r="F9" i="10" s="1"/>
  <c r="E15" i="10"/>
  <c r="F15" i="10" s="1"/>
  <c r="E14" i="10"/>
  <c r="F14" i="10" s="1"/>
  <c r="E13" i="10"/>
  <c r="F13" i="10" s="1"/>
  <c r="E11" i="10"/>
  <c r="F11" i="10" s="1"/>
  <c r="E10" i="10"/>
  <c r="F10" i="10" s="1"/>
  <c r="E8" i="10"/>
  <c r="F8" i="10" s="1"/>
  <c r="E7" i="10"/>
  <c r="F7" i="10" s="1"/>
  <c r="C16" i="10"/>
  <c r="C15" i="10" a="1"/>
  <c r="C15" i="10" s="1"/>
  <c r="C14" i="10" a="1"/>
  <c r="C14" i="10"/>
  <c r="C13" i="10" a="1"/>
  <c r="C13" i="10" s="1"/>
  <c r="C12" i="10" a="1"/>
  <c r="C12" i="10" s="1"/>
  <c r="C11" i="10" a="1"/>
  <c r="C11" i="10" s="1"/>
  <c r="C10" i="10" a="1"/>
  <c r="C10" i="10" s="1"/>
  <c r="C9" i="10" a="1"/>
  <c r="C9" i="10" s="1"/>
  <c r="C8" i="10" a="1"/>
  <c r="C8" i="10"/>
  <c r="C7" i="10" a="1"/>
  <c r="C7" i="10" s="1"/>
  <c r="D12" i="9"/>
  <c r="D11" i="9"/>
  <c r="D10" i="9"/>
  <c r="D9" i="9"/>
  <c r="D8" i="9"/>
  <c r="D7" i="9"/>
  <c r="I26" i="10"/>
  <c r="I25" i="10"/>
  <c r="F11" i="9" s="1"/>
  <c r="H11" i="9" s="1"/>
  <c r="I24" i="10"/>
  <c r="I23" i="10"/>
  <c r="I22" i="10"/>
  <c r="F8" i="9" s="1"/>
  <c r="I21" i="10"/>
  <c r="F7" i="9" s="1"/>
  <c r="H7" i="9" s="1"/>
  <c r="H26" i="10"/>
  <c r="H25" i="10"/>
  <c r="H24" i="10"/>
  <c r="F10" i="9" s="1"/>
  <c r="H23" i="10"/>
  <c r="F9" i="9" s="1"/>
  <c r="H22" i="10"/>
  <c r="H21" i="10"/>
  <c r="F12" i="9"/>
  <c r="H12" i="9" s="1"/>
  <c r="C6" i="8"/>
  <c r="C15" i="8" s="1"/>
  <c r="H18" i="1"/>
  <c r="F18" i="1"/>
  <c r="C34" i="7"/>
  <c r="E14" i="1"/>
  <c r="F14" i="1"/>
  <c r="G14" i="1"/>
  <c r="H14" i="1"/>
  <c r="I14" i="1"/>
  <c r="J14" i="1"/>
  <c r="E15" i="1"/>
  <c r="F15" i="1"/>
  <c r="G15" i="1"/>
  <c r="H15" i="1"/>
  <c r="I15" i="1"/>
  <c r="J15" i="1"/>
  <c r="F16" i="1"/>
  <c r="H16" i="1"/>
  <c r="F17" i="1"/>
  <c r="H17" i="1"/>
  <c r="B33" i="1"/>
  <c r="E28" i="1"/>
  <c r="G28" i="1" s="1"/>
  <c r="E27" i="1"/>
  <c r="G27" i="1" s="1"/>
  <c r="E26" i="1"/>
  <c r="G26" i="1" s="1"/>
  <c r="E25" i="1"/>
  <c r="G25" i="1" s="1"/>
  <c r="E24" i="1"/>
  <c r="G24" i="1" s="1"/>
  <c r="E23" i="1"/>
  <c r="G23" i="1" s="1"/>
  <c r="E22" i="1"/>
  <c r="G22" i="1" s="1"/>
  <c r="I21" i="1"/>
  <c r="I7" i="1"/>
  <c r="B3" i="1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28" i="4" s="1"/>
  <c r="H9" i="4"/>
  <c r="H8" i="4"/>
  <c r="H7" i="4"/>
  <c r="G28" i="4"/>
  <c r="F28" i="4"/>
  <c r="E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28" i="4" s="1"/>
  <c r="I11" i="4"/>
  <c r="I10" i="4"/>
  <c r="I9" i="4"/>
  <c r="I8" i="4"/>
  <c r="I7" i="4"/>
  <c r="G29" i="3"/>
  <c r="F29" i="3"/>
  <c r="E29" i="3"/>
  <c r="I28" i="3"/>
  <c r="H28" i="3"/>
  <c r="K28" i="3" s="1"/>
  <c r="I27" i="3"/>
  <c r="H27" i="3"/>
  <c r="K27" i="3" s="1"/>
  <c r="I26" i="3"/>
  <c r="H26" i="3"/>
  <c r="K26" i="3" s="1"/>
  <c r="I25" i="3"/>
  <c r="H25" i="3"/>
  <c r="K25" i="3" s="1"/>
  <c r="I24" i="3"/>
  <c r="H24" i="3"/>
  <c r="K24" i="3" s="1"/>
  <c r="I23" i="3"/>
  <c r="H23" i="3"/>
  <c r="K23" i="3" s="1"/>
  <c r="I22" i="3"/>
  <c r="H22" i="3"/>
  <c r="K22" i="3" s="1"/>
  <c r="I21" i="3"/>
  <c r="H21" i="3"/>
  <c r="K21" i="3" s="1"/>
  <c r="I20" i="3"/>
  <c r="H20" i="3"/>
  <c r="K20" i="3" s="1"/>
  <c r="I19" i="3"/>
  <c r="H19" i="3"/>
  <c r="K19" i="3" s="1"/>
  <c r="I18" i="3"/>
  <c r="H18" i="3"/>
  <c r="K18" i="3" s="1"/>
  <c r="I17" i="3"/>
  <c r="H17" i="3"/>
  <c r="K17" i="3" s="1"/>
  <c r="I16" i="3"/>
  <c r="H16" i="3"/>
  <c r="K16" i="3" s="1"/>
  <c r="I15" i="3"/>
  <c r="H15" i="3"/>
  <c r="K15" i="3" s="1"/>
  <c r="I14" i="3"/>
  <c r="H14" i="3"/>
  <c r="K14" i="3" s="1"/>
  <c r="I13" i="3"/>
  <c r="H13" i="3"/>
  <c r="K13" i="3" s="1"/>
  <c r="I12" i="3"/>
  <c r="H12" i="3"/>
  <c r="K12" i="3" s="1"/>
  <c r="I11" i="3"/>
  <c r="H11" i="3"/>
  <c r="K11" i="3" s="1"/>
  <c r="I10" i="3"/>
  <c r="H10" i="3"/>
  <c r="K10" i="3" s="1"/>
  <c r="I9" i="3"/>
  <c r="H9" i="3"/>
  <c r="K9" i="3" s="1"/>
  <c r="I8" i="3"/>
  <c r="H8" i="3"/>
  <c r="C74" i="5"/>
  <c r="C52" i="5"/>
  <c r="E52" i="5"/>
  <c r="G52" i="5"/>
  <c r="C24" i="5"/>
  <c r="F23" i="5"/>
  <c r="F22" i="5"/>
  <c r="F21" i="5"/>
  <c r="F20" i="5"/>
  <c r="F19" i="5"/>
  <c r="F18" i="5"/>
  <c r="F17" i="5"/>
  <c r="F16" i="5"/>
  <c r="F15" i="5"/>
  <c r="F14" i="5"/>
  <c r="F24" i="5" s="1"/>
  <c r="C32" i="7"/>
  <c r="G27" i="7"/>
  <c r="G16" i="7"/>
  <c r="C14" i="2"/>
  <c r="B10" i="1" s="1"/>
  <c r="I16" i="10"/>
  <c r="M34" i="9"/>
  <c r="G23" i="9"/>
  <c r="G22" i="9"/>
  <c r="G21" i="9"/>
  <c r="G20" i="9"/>
  <c r="G19" i="9"/>
  <c r="G18" i="9"/>
  <c r="G17" i="9"/>
  <c r="G16" i="9"/>
  <c r="F27" i="7"/>
  <c r="D27" i="7"/>
  <c r="G26" i="7"/>
  <c r="G25" i="7"/>
  <c r="G24" i="7"/>
  <c r="G23" i="7"/>
  <c r="G22" i="7"/>
  <c r="G21" i="7"/>
  <c r="G20" i="7"/>
  <c r="G19" i="7"/>
  <c r="G18" i="7"/>
  <c r="G17" i="7"/>
  <c r="G15" i="7"/>
  <c r="G14" i="7"/>
  <c r="G13" i="7"/>
  <c r="E14" i="6"/>
  <c r="F14" i="6" s="1"/>
  <c r="E12" i="6"/>
  <c r="E11" i="6"/>
  <c r="E10" i="6"/>
  <c r="E9" i="6"/>
  <c r="E8" i="6"/>
  <c r="E7" i="6"/>
  <c r="E16" i="10" l="1"/>
  <c r="F16" i="10" s="1"/>
  <c r="D16" i="10"/>
  <c r="H10" i="9"/>
  <c r="I10" i="9" s="1"/>
  <c r="J10" i="9" s="1"/>
  <c r="H8" i="9"/>
  <c r="F13" i="9"/>
  <c r="I12" i="9"/>
  <c r="J12" i="9" s="1"/>
  <c r="I8" i="9"/>
  <c r="J8" i="9"/>
  <c r="I7" i="9"/>
  <c r="J7" i="9" s="1"/>
  <c r="I11" i="9"/>
  <c r="J11" i="9" s="1"/>
  <c r="H9" i="9"/>
  <c r="F4" i="8"/>
  <c r="C17" i="8"/>
  <c r="C16" i="8"/>
  <c r="I10" i="1"/>
  <c r="C18" i="8"/>
  <c r="D13" i="9"/>
  <c r="G13" i="9"/>
  <c r="C9" i="5"/>
  <c r="C60" i="5" s="1"/>
  <c r="C81" i="5" s="1"/>
  <c r="C66" i="5"/>
  <c r="C67" i="5"/>
  <c r="C64" i="5"/>
  <c r="C63" i="5"/>
  <c r="C125" i="5"/>
  <c r="G29" i="1"/>
  <c r="L29" i="1" s="1"/>
  <c r="B32" i="4"/>
  <c r="F32" i="4"/>
  <c r="H29" i="3"/>
  <c r="I29" i="3"/>
  <c r="B33" i="3"/>
  <c r="J8" i="3"/>
  <c r="J10" i="3"/>
  <c r="J12" i="3"/>
  <c r="J14" i="3"/>
  <c r="J16" i="3"/>
  <c r="J18" i="3"/>
  <c r="J20" i="3"/>
  <c r="J22" i="3"/>
  <c r="J24" i="3"/>
  <c r="J26" i="3"/>
  <c r="J28" i="3"/>
  <c r="K8" i="3"/>
  <c r="J9" i="3"/>
  <c r="J11" i="3"/>
  <c r="J13" i="3"/>
  <c r="J15" i="3"/>
  <c r="J17" i="3"/>
  <c r="J19" i="3"/>
  <c r="J21" i="3"/>
  <c r="J23" i="3"/>
  <c r="J25" i="3"/>
  <c r="J27" i="3"/>
  <c r="G24" i="9"/>
  <c r="G25" i="9" s="1"/>
  <c r="I29" i="1" l="1"/>
  <c r="I9" i="9"/>
  <c r="I13" i="9" s="1"/>
  <c r="H13" i="9"/>
  <c r="C19" i="8"/>
  <c r="C20" i="8" s="1"/>
  <c r="C21" i="8" s="1"/>
  <c r="C65" i="5"/>
  <c r="C68" i="5"/>
  <c r="H32" i="4"/>
  <c r="J29" i="3"/>
  <c r="G33" i="3" s="1"/>
  <c r="E33" i="3"/>
  <c r="K29" i="3"/>
  <c r="I33" i="3" s="1"/>
  <c r="J9" i="9" l="1"/>
  <c r="J13" i="9" s="1"/>
  <c r="C82" i="5"/>
  <c r="C71" i="5"/>
  <c r="C75" i="5" l="1"/>
  <c r="C83" i="5"/>
  <c r="C76" i="5"/>
  <c r="C77" i="5"/>
  <c r="D74" i="5"/>
  <c r="C126" i="5"/>
  <c r="C78" i="5" l="1"/>
  <c r="C84" i="5" s="1"/>
  <c r="C85" i="5" s="1"/>
  <c r="C127" i="5"/>
  <c r="D78" i="5"/>
  <c r="B87" i="5"/>
  <c r="J27" i="9"/>
  <c r="J28" i="9" l="1"/>
  <c r="J30" i="9" s="1"/>
  <c r="C129" i="5"/>
  <c r="C128" i="5"/>
  <c r="L30" i="1" l="1"/>
  <c r="B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<sst xmlns="http://schemas.openxmlformats.org/spreadsheetml/2006/main" count="1079" uniqueCount="704">
  <si>
    <t>📐  QA RESOURCE &amp; BUDGET ESTIMATION DASHBOARD</t>
  </si>
  <si>
    <t>💰 Total QA Budget</t>
  </si>
  <si>
    <t>👥 QA Team Size</t>
  </si>
  <si>
    <t>📅 QA Duration (Wks)</t>
  </si>
  <si>
    <t>📋 Est. Test Cases</t>
  </si>
  <si>
    <t>📊  ESTIMATION COMPARISON BY TECHNIQUE</t>
  </si>
  <si>
    <t>Technique</t>
  </si>
  <si>
    <t>Optimistic</t>
  </si>
  <si>
    <t>Most Likely</t>
  </si>
  <si>
    <t>Pessimistic</t>
  </si>
  <si>
    <t>Std Dev</t>
  </si>
  <si>
    <t>Confidence</t>
  </si>
  <si>
    <t>Story Points (Agile)</t>
  </si>
  <si>
    <t>N/A</t>
  </si>
  <si>
    <t>Analogy-Based</t>
  </si>
  <si>
    <t>Use Case Points (UCP)</t>
  </si>
  <si>
    <t>⚠️  RISK ADJUSTMENTS</t>
  </si>
  <si>
    <t>🎯  RECOMMENDED ESTIMATE</t>
  </si>
  <si>
    <t>Risk Factor</t>
  </si>
  <si>
    <t>Level</t>
  </si>
  <si>
    <t>Impact (hrs)</t>
  </si>
  <si>
    <t>Probability</t>
  </si>
  <si>
    <t>Expected Impact</t>
  </si>
  <si>
    <t>Unclear Requirements</t>
  </si>
  <si>
    <t>High</t>
  </si>
  <si>
    <t>New Technology / Tools</t>
  </si>
  <si>
    <t>Medium</t>
  </si>
  <si>
    <t>Team Skill Gaps</t>
  </si>
  <si>
    <t>Integration Complexity</t>
  </si>
  <si>
    <t>3rd-Party Dependencies</t>
  </si>
  <si>
    <t>Low</t>
  </si>
  <si>
    <t>Regulatory / Compliance</t>
  </si>
  <si>
    <t>Environment Instability</t>
  </si>
  <si>
    <t>🔺  Total Risk Buffer (hrs)</t>
  </si>
  <si>
    <t>⚙️  PROJECT CONFIGURATION &amp; TEAM SETUP</t>
  </si>
  <si>
    <t>📋  PROJECT INFORMATION</t>
  </si>
  <si>
    <t>Project Name</t>
  </si>
  <si>
    <t>Phoenix Platform Modernization</t>
  </si>
  <si>
    <t>← Fill in</t>
  </si>
  <si>
    <t>Release / Version</t>
  </si>
  <si>
    <t>Release 3.0</t>
  </si>
  <si>
    <t>QA Lead</t>
  </si>
  <si>
    <t>Jane Smith</t>
  </si>
  <si>
    <t>QA Manager</t>
  </si>
  <si>
    <t>Start Date</t>
  </si>
  <si>
    <t>YYYY-MM-DD</t>
  </si>
  <si>
    <t>End Date</t>
  </si>
  <si>
    <t>Working Hrs/Day</t>
  </si>
  <si>
    <t>hrs</t>
  </si>
  <si>
    <t>Team Size (QA)</t>
  </si>
  <si>
    <t>headcount</t>
  </si>
  <si>
    <t>Sprint Length</t>
  </si>
  <si>
    <t>weeks</t>
  </si>
  <si>
    <t>QA Duration Wks</t>
  </si>
  <si>
    <t>auto-calc</t>
  </si>
  <si>
    <t>👥  QA TEAM ROSTER</t>
  </si>
  <si>
    <t>Name</t>
  </si>
  <si>
    <t>Role</t>
  </si>
  <si>
    <t>Skill Level</t>
  </si>
  <si>
    <t>Rate ($/hr)</t>
  </si>
  <si>
    <t>Sprint Allocation %</t>
  </si>
  <si>
    <t>Senior</t>
  </si>
  <si>
    <t>Tom Reyes</t>
  </si>
  <si>
    <t>Aisha Patel</t>
  </si>
  <si>
    <t>Test Analyst</t>
  </si>
  <si>
    <t>Mid</t>
  </si>
  <si>
    <t>Carlos Vega</t>
  </si>
  <si>
    <t>Performance Tester</t>
  </si>
  <si>
    <t>Lucy Chen</t>
  </si>
  <si>
    <t>Junior Tester</t>
  </si>
  <si>
    <t>Junior</t>
  </si>
  <si>
    <t>💡  LEGEND: Cell Colours</t>
  </si>
  <si>
    <t>✏️  USER INPUT — fill these cells</t>
  </si>
  <si>
    <t>🔢  FORMULA — auto-calculated</t>
  </si>
  <si>
    <t>🔒  LABEL — do not edit</t>
  </si>
  <si>
    <t>Optimistic (O)</t>
  </si>
  <si>
    <t>Most Likely (M)</t>
  </si>
  <si>
    <t>Pessimistic (P)</t>
  </si>
  <si>
    <t>PERT Hrs</t>
  </si>
  <si>
    <t>Std Dev (σ)</t>
  </si>
  <si>
    <t>Lower 95%</t>
  </si>
  <si>
    <t>Upper 95%</t>
  </si>
  <si>
    <t>UAT Support</t>
  </si>
  <si>
    <t>TOTALS</t>
  </si>
  <si>
    <t>Lower 95% CI</t>
  </si>
  <si>
    <t>Upper 95% CI</t>
  </si>
  <si>
    <t>Security Penetration</t>
  </si>
  <si>
    <t>🃏  STORY POINT ESTIMATION — AGILE / SCRUM</t>
  </si>
  <si>
    <t>QA Hours = Story Points × Hours-per-Point (velocity)   |   Fibonacci scale: 1, 2, 3, 5, 8, 13, 21</t>
  </si>
  <si>
    <t>⚡  VELOCITY &amp; CAPACITY SETTINGS</t>
  </si>
  <si>
    <t>Avg. Velocity (SP/sprint)</t>
  </si>
  <si>
    <t>← Team historical average</t>
  </si>
  <si>
    <t>Sprint Capacity (hrs)</t>
  </si>
  <si>
    <t>← Team size × hrs/day × sprint days</t>
  </si>
  <si>
    <t>Hours per Story Point (QA)</t>
  </si>
  <si>
    <t>← QA hrs per SP (calibrate each project)</t>
  </si>
  <si>
    <t>Number of Sprints Planned</t>
  </si>
  <si>
    <t>← Total planned sprints</t>
  </si>
  <si>
    <t>📋  USER STORY ESTIMATES</t>
  </si>
  <si>
    <t>Story Points</t>
  </si>
  <si>
    <t>Priority</t>
  </si>
  <si>
    <t>Sprint</t>
  </si>
  <si>
    <t>QA Hrs Est.</t>
  </si>
  <si>
    <t>QA Hrs Actual</t>
  </si>
  <si>
    <t>Variance</t>
  </si>
  <si>
    <t>Status</t>
  </si>
  <si>
    <t>Epic: User Management</t>
  </si>
  <si>
    <t>Sprint 1</t>
  </si>
  <si>
    <t>To Do</t>
  </si>
  <si>
    <t>Epic: Product Catalog</t>
  </si>
  <si>
    <t>Sprint 2</t>
  </si>
  <si>
    <t>Epic: Cart &amp; Checkout</t>
  </si>
  <si>
    <t>Critical</t>
  </si>
  <si>
    <t>Sprint 3</t>
  </si>
  <si>
    <t>Sprint 4</t>
  </si>
  <si>
    <t>Epic: Payment</t>
  </si>
  <si>
    <t>Epic: Reporting</t>
  </si>
  <si>
    <t>Sprint 5</t>
  </si>
  <si>
    <t>Epic: Notifications</t>
  </si>
  <si>
    <t>Sprint 6</t>
  </si>
  <si>
    <t>Epic: Admin Panel</t>
  </si>
  <si>
    <t>Sprint 7</t>
  </si>
  <si>
    <t>🔍  ANALOGY-BASED ESTIMATION</t>
  </si>
  <si>
    <t>Compare current project to completed reference projects. Adjust using complexity factor.</t>
  </si>
  <si>
    <t>📚  REFERENCE PROJECT LIBRARY</t>
  </si>
  <si>
    <t>Reference Project</t>
  </si>
  <si>
    <t>QA Hours Actual</t>
  </si>
  <si>
    <t>Complexity Factor</t>
  </si>
  <si>
    <t>Adj. Hrs</t>
  </si>
  <si>
    <t>Similarity %</t>
  </si>
  <si>
    <t>Project Alpha — E-Commerce v1</t>
  </si>
  <si>
    <t>Project Beta — Portal Upgrade</t>
  </si>
  <si>
    <t>Project Gamma — API Integration</t>
  </si>
  <si>
    <t>Project Delta — Mobile App QA</t>
  </si>
  <si>
    <t>Project Epsilon — Legacy Mig.</t>
  </si>
  <si>
    <t>Project Zeta — Data Platform</t>
  </si>
  <si>
    <t>🎯  WEIGHTED ANALOGY ESTIMATE</t>
  </si>
  <si>
    <t>Weighted Avg QA Hours</t>
  </si>
  <si>
    <t>📐  USE CASE POINT (UCP) ESTIMATION</t>
  </si>
  <si>
    <t>UCP = (UUCW + UAW) × TCF × ECF   |   QA Hrs = UCP × Productivity Factor</t>
  </si>
  <si>
    <t>📊  USE CASE COMPLEXITY WEIGHTS</t>
  </si>
  <si>
    <t>Use Case Complexity</t>
  </si>
  <si>
    <t>Simple (≤3 txns)</t>
  </si>
  <si>
    <t>Average (4-7)</t>
  </si>
  <si>
    <t>Complex (&gt;7)</t>
  </si>
  <si>
    <t>UUCW Weight</t>
  </si>
  <si>
    <t>Actor Complexity</t>
  </si>
  <si>
    <t>Simple (API)</t>
  </si>
  <si>
    <t>Average (UI)</t>
  </si>
  <si>
    <t>Complex (other)</t>
  </si>
  <si>
    <t>UAW Weight</t>
  </si>
  <si>
    <t>🧩  USE CASE INVENTORY</t>
  </si>
  <si>
    <t>Use Case Name</t>
  </si>
  <si>
    <t>Complexity</t>
  </si>
  <si>
    <t>UUCW</t>
  </si>
  <si>
    <t>Actors</t>
  </si>
  <si>
    <t>UAW</t>
  </si>
  <si>
    <t>Total UC Points</t>
  </si>
  <si>
    <t>Login &amp; Authentication</t>
  </si>
  <si>
    <t>Simple</t>
  </si>
  <si>
    <t>User Registration</t>
  </si>
  <si>
    <t>Average</t>
  </si>
  <si>
    <t>Browse Product Catalog</t>
  </si>
  <si>
    <t>Product Search &amp; Filter</t>
  </si>
  <si>
    <t>Manage Shopping Cart</t>
  </si>
  <si>
    <t>Complex</t>
  </si>
  <si>
    <t>Checkout Process</t>
  </si>
  <si>
    <t>Payment Processing</t>
  </si>
  <si>
    <t>Order Tracking</t>
  </si>
  <si>
    <t>Returns &amp; Refunds</t>
  </si>
  <si>
    <t>Generate Sales Reports</t>
  </si>
  <si>
    <t>Admin: User Management</t>
  </si>
  <si>
    <t>Admin: Product Management</t>
  </si>
  <si>
    <t>Send Notifications</t>
  </si>
  <si>
    <t>View Analytics Dashboard</t>
  </si>
  <si>
    <t>⚙️  TECHNICAL &amp; ENV. COMPLEXITY FACTORS</t>
  </si>
  <si>
    <t>TCF (Technical Complexity)</t>
  </si>
  <si>
    <t>0.6–1.3 range; lower = more complex</t>
  </si>
  <si>
    <t>ECF (Environment Complexity)</t>
  </si>
  <si>
    <t>0.5–1.4 range; lower = less stable env</t>
  </si>
  <si>
    <t>UCP (Adjusted)</t>
  </si>
  <si>
    <t>QA Productivity Factor (hrs/UCP)</t>
  </si>
  <si>
    <t>Total QA Hrs (UCP Method)</t>
  </si>
  <si>
    <t>📝  TEST PLANNING &amp; TEST CASE ESTIMATION</t>
  </si>
  <si>
    <t>Test Cases = Requirements × Test-to-Req Ratio   |   Hours = Test Cases × hrs per case</t>
  </si>
  <si>
    <t>⚙️  PLANNING PARAMETERS</t>
  </si>
  <si>
    <t>Total Requirements (User Stories)</t>
  </si>
  <si>
    <t>← count from backlog</t>
  </si>
  <si>
    <t>Test-to-Req Ratio</t>
  </si>
  <si>
    <t>← avg test cases per requirement</t>
  </si>
  <si>
    <t>Hrs per Test Case (Design)</t>
  </si>
  <si>
    <t>← estimation standard</t>
  </si>
  <si>
    <t>Hrs per Test Case (Execution)</t>
  </si>
  <si>
    <t>Hrs per Test Case (Regression)</t>
  </si>
  <si>
    <t>← per regression cycle</t>
  </si>
  <si>
    <t>Number of Regression Cycles</t>
  </si>
  <si>
    <t>← sprints / releases</t>
  </si>
  <si>
    <t>Review &amp; Rework Buffer (%)</t>
  </si>
  <si>
    <t>← overhead factor</t>
  </si>
  <si>
    <t>📊  ESTIMATED OUTPUTS</t>
  </si>
  <si>
    <t>Estimated Test Cases</t>
  </si>
  <si>
    <t>Test Design Hours</t>
  </si>
  <si>
    <t>Test Execution Hours</t>
  </si>
  <si>
    <t>Regression Hours (total)</t>
  </si>
  <si>
    <t>Sub-Total QA Hours</t>
  </si>
  <si>
    <t>Review &amp; Rework (buffer)</t>
  </si>
  <si>
    <t>TOTAL Test Planning Hours</t>
  </si>
  <si>
    <t>💰  QA BUDGET PLANNER</t>
  </si>
  <si>
    <t>Budget = (Team Hours × Hourly Rates) + Tools + Training + Infrastructure + Contingency</t>
  </si>
  <si>
    <t>👥  LABOR COST BREAKDOWN</t>
  </si>
  <si>
    <t>Team Member</t>
  </si>
  <si>
    <t>Hrs/Sprint</t>
  </si>
  <si>
    <t>No. Sprints</t>
  </si>
  <si>
    <t>Total Hrs</t>
  </si>
  <si>
    <t>$/hr</t>
  </si>
  <si>
    <t>Labor Cost</t>
  </si>
  <si>
    <t>Benefits (30%)</t>
  </si>
  <si>
    <t>Total Cost</t>
  </si>
  <si>
    <t>LABOR TOTALS</t>
  </si>
  <si>
    <t>🛠️  TOOLS, INFRASTRUCTURE &amp; OTHER COSTS</t>
  </si>
  <si>
    <t>Cost Category</t>
  </si>
  <si>
    <t>Description</t>
  </si>
  <si>
    <t>Unit Cost</t>
  </si>
  <si>
    <t>Quantity</t>
  </si>
  <si>
    <t>Frequency</t>
  </si>
  <si>
    <t>Test Automation Tools</t>
  </si>
  <si>
    <t>Selenium/Playwright license</t>
  </si>
  <si>
    <t>Test Mgmt Tool</t>
  </si>
  <si>
    <t>Jira/TestRail subscription</t>
  </si>
  <si>
    <t>Performance Tools</t>
  </si>
  <si>
    <t>JMeter / LoadRunner</t>
  </si>
  <si>
    <t>Security Tools</t>
  </si>
  <si>
    <t>OWASP ZAP / BurpSuite</t>
  </si>
  <si>
    <t>CI/CD Integration</t>
  </si>
  <si>
    <t>Pipeline setup &amp; maint.</t>
  </si>
  <si>
    <t>Dev/QA Environment</t>
  </si>
  <si>
    <t>Cloud infra (AWS/Azure)</t>
  </si>
  <si>
    <t>Training</t>
  </si>
  <si>
    <t>QA skills &amp; tool training</t>
  </si>
  <si>
    <t>Travel &amp; Expenses</t>
  </si>
  <si>
    <t>Onsite visits / stakeholder</t>
  </si>
  <si>
    <t>Miscellaneous</t>
  </si>
  <si>
    <t>10% buffer for unknowns</t>
  </si>
  <si>
    <t>TOTAL NON-LABOR COSTS</t>
  </si>
  <si>
    <t>💰  TOTAL QA BUDGET</t>
  </si>
  <si>
    <t>⚠️  + Contingency Buffer (recommended 15-20%)</t>
  </si>
  <si>
    <t>✅  FINAL RECOMMENDED QA BUDGET</t>
  </si>
  <si>
    <t>📅  SPRINT-BY-SPRINT RESOURCE ALLOCATION PLAN</t>
  </si>
  <si>
    <t>Plan QA headcount and hours per sprint; monitor actuals vs. estimates</t>
  </si>
  <si>
    <t>📋  SPRINT ALLOCATION MATRIX</t>
  </si>
  <si>
    <t>Planned Hrs</t>
  </si>
  <si>
    <t>Actual Hrs</t>
  </si>
  <si>
    <t>Features In Scope</t>
  </si>
  <si>
    <t>Test Cases</t>
  </si>
  <si>
    <t>Pass Rate %</t>
  </si>
  <si>
    <t>Bugs Found</t>
  </si>
  <si>
    <t>Sprint 8</t>
  </si>
  <si>
    <t>📖  HOW TO USE — QA ESTIMATION TEMPLATE</t>
  </si>
  <si>
    <t>🟣 STEP 1 — Configure Your Project</t>
  </si>
  <si>
    <t>⚙️ Config sheet</t>
  </si>
  <si>
    <t>Fill in Project Name, Release, QA Lead, Team roster with roles, skill levels, hourly rates and sprint allocation.</t>
  </si>
  <si>
    <t>🟣 STEP 2 — PERT Phase Estimation</t>
  </si>
  <si>
    <t>📊 PERT Estimation sheet</t>
  </si>
  <si>
    <t>Enter Optimistic, Most Likely and Pessimistic hours for each QA phase. PERT and Std Dev calculate automatically.</t>
  </si>
  <si>
    <t>🟣 STEP 3 — Feature-Level Three-Point</t>
  </si>
  <si>
    <t>🔺 Three-Point sheet</t>
  </si>
  <si>
    <t>Enter O/M/P hours for each feature or user story. Both PERT and Triangular averages are computed.</t>
  </si>
  <si>
    <t>🟣 STEP 4 — Story Points (Agile)</t>
  </si>
  <si>
    <t>🃏 Story Points sheet</t>
  </si>
  <si>
    <t>Assign story points per epic/story. Set velocity and hours-per-point. QA hours auto-calculate.</t>
  </si>
  <si>
    <t>🟣 STEP 5 — Analogy Estimation</t>
  </si>
  <si>
    <t>🔍 Analogy sheet</t>
  </si>
  <si>
    <t>Enter reference (past) projects with actual QA hours, complexity factors and similarity %. Weighted estimate is computed.</t>
  </si>
  <si>
    <t>🟣 STEP 6 — Use Case Points</t>
  </si>
  <si>
    <t>📐 UCP sheet</t>
  </si>
  <si>
    <t>Log use cases with complexity. Set TCF, ECF and productivity factor. Total QA hours are estimated.</t>
  </si>
  <si>
    <t>🟣 STEP 7 — Test Case Planning</t>
  </si>
  <si>
    <t>📝 Test Planning sheet</t>
  </si>
  <si>
    <t>Set requirements count, test-to-req ratio and hrs/case. Total design, execution and regression hours auto-calculate.</t>
  </si>
  <si>
    <t>🟣 STEP 8 — Budget Planning</t>
  </si>
  <si>
    <t>💰 Budget Planner sheet</t>
  </si>
  <si>
    <t>Labor costs pull from Config. Add tool, infra and training costs. Final budget with contingency auto-totals.</t>
  </si>
  <si>
    <t>🟣 STEP 9 — Risk Buffer</t>
  </si>
  <si>
    <t>📋 Dashboard → Risk table</t>
  </si>
  <si>
    <t>Adjust risk probability and impact on the Dashboard. Total risk buffer adds to recommended estimate.</t>
  </si>
  <si>
    <t>🟣 STEP 10 — Sprint Planning</t>
  </si>
  <si>
    <t>📅 Sprint Resource Plan sheet</t>
  </si>
  <si>
    <t>Enter planned hours per sprint and assigned testers. As actuals come in, variance and status update automatically.</t>
  </si>
  <si>
    <t>🟣 STEP 11 — Review Dashboard</t>
  </si>
  <si>
    <t>📋 Estimation Dashboard</t>
  </si>
  <si>
    <t>The dashboard aggregates all techniques. Compare side-by-side and use PERT as the primary recommended estimate.</t>
  </si>
  <si>
    <t>💡 COLOUR CODE</t>
  </si>
  <si>
    <t>Dark Green cells = User Input</t>
  </si>
  <si>
    <t>Dark Blue-Purple = Formula (do not edit)   |   Purple sections = Section headers</t>
  </si>
  <si>
    <t>💡 BEST PRACTICE</t>
  </si>
  <si>
    <t>Use 2–3 techniques and compare</t>
  </si>
  <si>
    <t>For new projects: PERT + Story Points. For similar past projects: Analogy. For requirement-heavy: UCP.</t>
  </si>
  <si>
    <t>💡 CONFIDENCE</t>
  </si>
  <si>
    <t>🟢 High &lt; 10% CV | 🟡 Medium 10–20% | 🔴 Low &gt; 20%</t>
  </si>
  <si>
    <t>CV = Std Dev / PERT Estimate. Lower is better. Aim for High on critical projects.</t>
  </si>
  <si>
    <t>🟢 High</t>
  </si>
  <si>
    <t>🟡 Medium</t>
  </si>
  <si>
    <t>GRAND TOTAL (with contingency)</t>
  </si>
  <si>
    <t>Vishvambruth Javagal</t>
  </si>
  <si>
    <t>📋 DATA TABLE - HEADERS</t>
  </si>
  <si>
    <t>Sprint 9</t>
  </si>
  <si>
    <t>Epic: Regression &amp; Stabilization</t>
  </si>
  <si>
    <t>Epic: UAT &amp; Release Prep</t>
  </si>
  <si>
    <t>📊  EPIC-LEVEL ESTIMATES</t>
  </si>
  <si>
    <t>Epic Name</t>
  </si>
  <si>
    <t>Planned</t>
  </si>
  <si>
    <t>Epic: Performance/Security</t>
  </si>
  <si>
    <t>EPIC TOTALS</t>
  </si>
  <si>
    <t>📋  USER STORY BREAKDOWN (Must Equal Epic Totals)</t>
  </si>
  <si>
    <t>User Story</t>
  </si>
  <si>
    <t xml:space="preserve">  Registration &amp; Login</t>
  </si>
  <si>
    <t xml:space="preserve">  Password Reset Flow</t>
  </si>
  <si>
    <t xml:space="preserve">  Browse &amp; Search</t>
  </si>
  <si>
    <t xml:space="preserve">  Product Detail Page</t>
  </si>
  <si>
    <t xml:space="preserve">  Filter &amp; Sort</t>
  </si>
  <si>
    <t xml:space="preserve">  Add/Remove Cart Items</t>
  </si>
  <si>
    <t xml:space="preserve">  Checkout Flow</t>
  </si>
  <si>
    <t xml:space="preserve">  Order Confirmation</t>
  </si>
  <si>
    <t xml:space="preserve">  Credit Card Integration</t>
  </si>
  <si>
    <t xml:space="preserve">  Refund/Cancellation</t>
  </si>
  <si>
    <t xml:space="preserve">  Dashboard &amp; Charts</t>
  </si>
  <si>
    <t xml:space="preserve">  Export (CSV/PDF)</t>
  </si>
  <si>
    <t xml:space="preserve">  Email/SMS Alerts</t>
  </si>
  <si>
    <t xml:space="preserve">  User Management Admin</t>
  </si>
  <si>
    <t xml:space="preserve">  Config &amp; Settings</t>
  </si>
  <si>
    <t xml:space="preserve">  Load &amp; Stress Testing</t>
  </si>
  <si>
    <t xml:space="preserve">  Security Penetration</t>
  </si>
  <si>
    <t xml:space="preserve">  Full Regression Suite</t>
  </si>
  <si>
    <t xml:space="preserve">  Bug Fix Verification</t>
  </si>
  <si>
    <t xml:space="preserve">  UAT Support &amp; Fixes</t>
  </si>
  <si>
    <t xml:space="preserve">  Release Sign-off Testing</t>
  </si>
  <si>
    <t>USER STORY TOTALS</t>
  </si>
  <si>
    <t>✅  VALIDATION: Epic vs User Story Totals</t>
  </si>
  <si>
    <t>Match Status:</t>
  </si>
  <si>
    <t>Epic SP:</t>
  </si>
  <si>
    <t>Story SP:</t>
  </si>
  <si>
    <t>Parent Epic</t>
  </si>
  <si>
    <t>User Management</t>
  </si>
  <si>
    <t>Product Catalog</t>
  </si>
  <si>
    <t>Cart &amp; Checkout</t>
  </si>
  <si>
    <t>Payment</t>
  </si>
  <si>
    <t>Reporting</t>
  </si>
  <si>
    <t>Notifications</t>
  </si>
  <si>
    <t>Admin Panel</t>
  </si>
  <si>
    <t>Performance/Security</t>
  </si>
  <si>
    <t>Regression &amp; Stabilization</t>
  </si>
  <si>
    <t>UAT &amp; Release Prep</t>
  </si>
  <si>
    <t>📊  CAPACITY vs ESTIMATE RECONCILIATION</t>
  </si>
  <si>
    <t>Explains the gap between Story Point estimates and Sprint Capacity — for stakeholder discussions</t>
  </si>
  <si>
    <t>Category</t>
  </si>
  <si>
    <t>Hours</t>
  </si>
  <si>
    <t>% of Capacity</t>
  </si>
  <si>
    <t>Notes</t>
  </si>
  <si>
    <t>📦 GROSS SPRINT CAPACITY</t>
  </si>
  <si>
    <t>Total Available Capacity</t>
  </si>
  <si>
    <t>OVERHEAD DEDUCTIONS from Gross Capacity</t>
  </si>
  <si>
    <t>Meetings, Stand-ups, Reviews</t>
  </si>
  <si>
    <t>Daily stand-ups, sprint reviews, planning</t>
  </si>
  <si>
    <t>Test Environment Setup/Maint.</t>
  </si>
  <si>
    <t>Environment prep, data setup</t>
  </si>
  <si>
    <t>Documentation and Reporting</t>
  </si>
  <si>
    <t>Test reports, status updates</t>
  </si>
  <si>
    <t>Defect Triage and Retesting</t>
  </si>
  <si>
    <t>Bug analysis, verification</t>
  </si>
  <si>
    <t>Buffer/Contingency</t>
  </si>
  <si>
    <t>Unplanned work, scope changes</t>
  </si>
  <si>
    <t>Total Overhead</t>
  </si>
  <si>
    <t>Typical range: 40-60%</t>
  </si>
  <si>
    <t>NET PRODUCTIVE CAPACITY</t>
  </si>
  <si>
    <t>Available for Testing</t>
  </si>
  <si>
    <t>EFFORT ALLOCATION</t>
  </si>
  <si>
    <t>Story Point Testing (Feature)</t>
  </si>
  <si>
    <t>Direct testing from User Stories</t>
  </si>
  <si>
    <t>Regression Testing (per sprint)</t>
  </si>
  <si>
    <t>~25% of net capacity for regression</t>
  </si>
  <si>
    <t>Exploratory / Ad-hoc Testing</t>
  </si>
  <si>
    <t>Risk-based, session-based testing</t>
  </si>
  <si>
    <t>Supporting business users</t>
  </si>
  <si>
    <t>Total Allocated Effort</t>
  </si>
  <si>
    <t>Should be &lt;= Net Capacity</t>
  </si>
  <si>
    <t>SUMMARY FOR STAKEHOLDERS</t>
  </si>
  <si>
    <t>Gross Capacity (Total Available)</t>
  </si>
  <si>
    <t>Less: Overhead (50%)</t>
  </si>
  <si>
    <t>Net Productive Capacity</t>
  </si>
  <si>
    <t>Allocated Effort</t>
  </si>
  <si>
    <t>Utilization Rate</t>
  </si>
  <si>
    <t>%</t>
  </si>
  <si>
    <t>100%</t>
  </si>
  <si>
    <t>15%</t>
  </si>
  <si>
    <t>10%</t>
  </si>
  <si>
    <t>5%</t>
  </si>
  <si>
    <t>50%</t>
  </si>
  <si>
    <t>25%</t>
  </si>
  <si>
    <t>Gross Capacity minus Overhead</t>
  </si>
  <si>
    <t>📋  UTILIZATION RATE JUSTIFICATION (70.7% — Why This is Optimal)</t>
  </si>
  <si>
    <t>Use this section to explain utilization rate to customers and stakeholders</t>
  </si>
  <si>
    <t>📊  INDUSTRY BENCHMARK COMPARISON</t>
  </si>
  <si>
    <t>Utilization Range</t>
  </si>
  <si>
    <t>Assessment</t>
  </si>
  <si>
    <t>Risk Level</t>
  </si>
  <si>
    <t>Recommendation</t>
  </si>
  <si>
    <t>90-100%</t>
  </si>
  <si>
    <t>❌ Unrealistic</t>
  </si>
  <si>
    <t>Very High</t>
  </si>
  <si>
    <t>No buffer for issues</t>
  </si>
  <si>
    <t>80-90%</t>
  </si>
  <si>
    <t>⚠️ Aggressive</t>
  </si>
  <si>
    <t>Risky if scope changes</t>
  </si>
  <si>
    <t>70-80%</t>
  </si>
  <si>
    <t>✅ OPTIMAL</t>
  </si>
  <si>
    <t>Balanced &amp; defensible</t>
  </si>
  <si>
    <t>60-70%</t>
  </si>
  <si>
    <t>⚠️ Conservative</t>
  </si>
  <si>
    <t>May indicate over-staffing</t>
  </si>
  <si>
    <t>&lt; 60%</t>
  </si>
  <si>
    <t>❌ Under-utilized</t>
  </si>
  <si>
    <t>Resource waste</t>
  </si>
  <si>
    <t>🛡️  WHAT THE 29.3% BUFFER COVERS</t>
  </si>
  <si>
    <t>Risk / Activity</t>
  </si>
  <si>
    <t>Typical Impact</t>
  </si>
  <si>
    <t>Why Needed</t>
  </si>
  <si>
    <t>Scope Creep</t>
  </si>
  <si>
    <t>Requirements changes mid-sprint</t>
  </si>
  <si>
    <t>5-15%</t>
  </si>
  <si>
    <t>Common in agile projects</t>
  </si>
  <si>
    <t>Production Issues</t>
  </si>
  <si>
    <t>Hotfixes, emergency testing</t>
  </si>
  <si>
    <t>5-10%</t>
  </si>
  <si>
    <t>Unplanned but expected</t>
  </si>
  <si>
    <t>Sick Leave / PTO</t>
  </si>
  <si>
    <t>Unplanned team absences</t>
  </si>
  <si>
    <t>5-8%</t>
  </si>
  <si>
    <t>Human resource reality</t>
  </si>
  <si>
    <t>Knowledge Transfer</t>
  </si>
  <si>
    <t>Onboarding, cross-training</t>
  </si>
  <si>
    <t>3-5%</t>
  </si>
  <si>
    <t>Team sustainability</t>
  </si>
  <si>
    <t>Process Improvements</t>
  </si>
  <si>
    <t>Retrospectives, tooling</t>
  </si>
  <si>
    <t>2-5%</t>
  </si>
  <si>
    <t>Continuous improvement</t>
  </si>
  <si>
    <t>Learning Curve</t>
  </si>
  <si>
    <t>New technology adoption</t>
  </si>
  <si>
    <t>3-8%</t>
  </si>
  <si>
    <t>Innovation overhead</t>
  </si>
  <si>
    <t>Collaboration</t>
  </si>
  <si>
    <t>Ad-hoc dev/business support</t>
  </si>
  <si>
    <t>Cross-team dependencies</t>
  </si>
  <si>
    <t>Context Switching</t>
  </si>
  <si>
    <t>Multi-tasking overhead</t>
  </si>
  <si>
    <t>10-15%</t>
  </si>
  <si>
    <t>Industry standard loss</t>
  </si>
  <si>
    <t>🗣️  KEY TALKING POINTS FOR STAKEHOLDERS</t>
  </si>
  <si>
    <t>1️⃣</t>
  </si>
  <si>
    <t>"70-80% utilization is the industry standard for knowledge workers — studies show productive 'hands-on' time averages 60-70% of total hours."</t>
  </si>
  <si>
    <t>2️⃣</t>
  </si>
  <si>
    <t>"The remaining 29.3% isn't wasted — it's intentional buffer for scope changes, production issues, and unplanned work that WILL occur."</t>
  </si>
  <si>
    <t>3️⃣</t>
  </si>
  <si>
    <t>"Projects with 90%+ utilization consistently fail to meet deadlines because they have no capacity to absorb inevitable changes."</t>
  </si>
  <si>
    <t>4️⃣</t>
  </si>
  <si>
    <t>"Our 70.7% utilization demonstrates responsible planning — we've accounted for real-world risks while maximizing productivity."</t>
  </si>
  <si>
    <t>5️⃣</t>
  </si>
  <si>
    <t>"This buffer has already absorbed: meetings (15%), environment setup (10%), documentation (5%), defect triage (10%), and contingency (10%)."</t>
  </si>
  <si>
    <t>✅  BOTTOM LINE FOR CUSTOMER</t>
  </si>
  <si>
    <t>"Our 70.7% utilization rate represents a well-planned, risk-aware approach to QA resource allocation. We've allocated 1,272.5 hours of direct testing effort within 1,800 hours of net productive capacity. The 29.3% buffer ensures we can handle scope changes, production issues, and team availability challenges without impacting delivery timelines or quality. This is not under-utilization — it's responsible project management."</t>
  </si>
  <si>
    <t>📊  YOUR PROJECT'S UTILIZATION METRICS (Auto-calculated)</t>
  </si>
  <si>
    <t>Gross Capacity:</t>
  </si>
  <si>
    <t>Net Productive Capacity:</t>
  </si>
  <si>
    <t>Allocated Effort:</t>
  </si>
  <si>
    <t>Utilization Rate:</t>
  </si>
  <si>
    <t>Buffer Remaining:</t>
  </si>
  <si>
    <t>Automation Eng (UI/API)</t>
  </si>
  <si>
    <t>Registration &amp; Login</t>
  </si>
  <si>
    <t>Password Reset Flow</t>
  </si>
  <si>
    <t>Browse &amp; Search</t>
  </si>
  <si>
    <t>Product Detail Page</t>
  </si>
  <si>
    <t>Filter &amp; Sort</t>
  </si>
  <si>
    <t>Add/Remove Cart Items</t>
  </si>
  <si>
    <t>Checkout Flow</t>
  </si>
  <si>
    <t>Order Confirmation</t>
  </si>
  <si>
    <t>Credit Card Integration</t>
  </si>
  <si>
    <t>Refund/Cancellation</t>
  </si>
  <si>
    <t>Dashboard &amp; Charts</t>
  </si>
  <si>
    <t>Export (CSV/PDF)</t>
  </si>
  <si>
    <t>Email/SMS Alerts</t>
  </si>
  <si>
    <t>User Management Admin</t>
  </si>
  <si>
    <t>Config &amp; Settings</t>
  </si>
  <si>
    <t>Load &amp; Stress Testing</t>
  </si>
  <si>
    <t>Full Regression Suite</t>
  </si>
  <si>
    <t>Bug Fix Verification</t>
  </si>
  <si>
    <t>UAT Support &amp; Fixes</t>
  </si>
  <si>
    <t>Release Sign-off Testing</t>
  </si>
  <si>
    <t>Formula</t>
  </si>
  <si>
    <t>PERT Estimate</t>
  </si>
  <si>
    <t>(O + 4M + P) / 6</t>
  </si>
  <si>
    <t>(12+80+32)/6 = 20.7 hrs</t>
  </si>
  <si>
    <t>Total PERT Hours</t>
  </si>
  <si>
    <t>When to Use</t>
  </si>
  <si>
    <t>🃏 Story Points (Agile)</t>
  </si>
  <si>
    <t>Module / Functionality</t>
  </si>
  <si>
    <t>Requirement / User Story</t>
  </si>
  <si>
    <t>📊  PERT ESTIMATION — REQUIREMENT-BASED (Single Source of Truth)</t>
  </si>
  <si>
    <t>Formula: PERT = (O + 4M + P) / 6    |    Std Dev = (P - O) / 6    |    95% CI = PERT ± 1.96 × σ</t>
  </si>
  <si>
    <t>📌 SUMMARY — SINGLE PERT ESTIMATE (Used by Dashboard)</t>
  </si>
  <si>
    <t>Estimate Type</t>
  </si>
  <si>
    <t>💡  HOW O/M/P VALUES ARE DERIVED (Waterfall/Hybrid Approach)</t>
  </si>
  <si>
    <t>In Waterfall/Hybrid projects, O/M/P are estimated directly based on requirement complexity, historical data, and expert judgment.</t>
  </si>
  <si>
    <t>Definition</t>
  </si>
  <si>
    <t>How to Derive</t>
  </si>
  <si>
    <t>Typical Factors</t>
  </si>
  <si>
    <t>Example</t>
  </si>
  <si>
    <t>Best-case scenario</t>
  </si>
  <si>
    <t>Ideal conditions: clear reqs, no blockers, experienced team</t>
  </si>
  <si>
    <t>Perfect understanding, no defects, automation available</t>
  </si>
  <si>
    <t>Login: 12 hrs</t>
  </si>
  <si>
    <t>Realistic scenario</t>
  </si>
  <si>
    <t>Based on historical data; typical conditions</t>
  </si>
  <si>
    <t>Average complexity, some clarifications, standard defects</t>
  </si>
  <si>
    <t>Login: 20 hrs</t>
  </si>
  <si>
    <t>Worst-case scenario</t>
  </si>
  <si>
    <t>Account for risks: unclear reqs, new tech, rework</t>
  </si>
  <si>
    <t>High complexity, multiple defect cycles, env issues</t>
  </si>
  <si>
    <t>Login: 32 hrs</t>
  </si>
  <si>
    <t>Weighted average; more weight to Most Likely</t>
  </si>
  <si>
    <t>4× weight on M, smooths extremes</t>
  </si>
  <si>
    <t>📏  ESTIMATION GUIDELINES BY REQUIREMENT COMPLEXITY</t>
  </si>
  <si>
    <t>Characteristics</t>
  </si>
  <si>
    <t>O (hrs)</t>
  </si>
  <si>
    <t>M (hrs)</t>
  </si>
  <si>
    <t>P (hrs)</t>
  </si>
  <si>
    <t>Ratio (O:M:P)</t>
  </si>
  <si>
    <t>🟢 Simple</t>
  </si>
  <si>
    <t>Clear requirements, standard functionality</t>
  </si>
  <si>
    <t>16-24</t>
  </si>
  <si>
    <t>Some integrations, moderate complexity</t>
  </si>
  <si>
    <t>16-32</t>
  </si>
  <si>
    <t>32-48</t>
  </si>
  <si>
    <t>🔴 Complex</t>
  </si>
  <si>
    <t>Multiple integrations, new tech, high risk</t>
  </si>
  <si>
    <t>32-64</t>
  </si>
  <si>
    <t>64-96</t>
  </si>
  <si>
    <t>⚠️  PERT vs AGILE: WHEN TO USE EACH</t>
  </si>
  <si>
    <t>Methodology</t>
  </si>
  <si>
    <t>Best For</t>
  </si>
  <si>
    <t>How to Estimate</t>
  </si>
  <si>
    <t>Key Principle</t>
  </si>
  <si>
    <t>📊 PERT (This Sheet)</t>
  </si>
  <si>
    <t>Waterfall / Hybrid projects</t>
  </si>
  <si>
    <t>Direct O/M/P hours based on req analysis &amp; historical data</t>
  </si>
  <si>
    <t>Absolute estimation in hours</t>
  </si>
  <si>
    <t>Scrum / Kanban projects</t>
  </si>
  <si>
    <t>Relative sizing using Fibonacci; convert via velocity</t>
  </si>
  <si>
    <t>Relative estimation (not hours)</t>
  </si>
  <si>
    <t>4-8</t>
  </si>
  <si>
    <t>8-16</t>
  </si>
  <si>
    <t>1:2:3</t>
  </si>
  <si>
    <t>📋  REQUIREMENT-BASED PERT ESTIMATES (Linked to project requirements)</t>
  </si>
  <si>
    <t>📝 NOTE: This sheet uses PERT for Waterfall/Hybrid projects. O/M/P values should be estimated directly based on requirement complexity</t>
  </si>
  <si>
    <t>95% Confidence Interval</t>
  </si>
  <si>
    <t>Method</t>
  </si>
  <si>
    <t>(O + M + P) / 3</t>
  </si>
  <si>
    <t>📏 ESTIMATION GUIDELINES BY REQUIREMENT COMPLEXITY</t>
  </si>
  <si>
    <t>🔺  THREE-POINT ESTIMATION — REQUIREMENT-BASED (Triangular Method)</t>
  </si>
  <si>
    <t>Triangular Formula: (O + M + P) / 3   |   Std Dev: (P - O) / 6   |   95% CI = Estimate ± 1.96 × σ</t>
  </si>
  <si>
    <t>📋  REQUIREMENT-BASED THREE-POINT ESTIMATES (Triangular Method)</t>
  </si>
  <si>
    <t>Three-Point Est.</t>
  </si>
  <si>
    <t>📌 SUMMARY — THREE-POINT ESTIMATE (Triangular Method - Used by Dashboard)</t>
  </si>
  <si>
    <t>Total Three-Point Hours</t>
  </si>
  <si>
    <t>💡 THREE-POINT ESTIMATION METHOD EXPLAINED (Waterfall/Hybrid Approach)</t>
  </si>
  <si>
    <t>Three-Point (Triangular)</t>
  </si>
  <si>
    <t>Triangular (Three-Point)</t>
  </si>
  <si>
    <t>Equal weight to all estimates</t>
  </si>
  <si>
    <t>Balanced uncertainty</t>
  </si>
  <si>
    <t>When O, M, P equally reliable</t>
  </si>
  <si>
    <t>PERT (Weighted)</t>
  </si>
  <si>
    <t>Estimate</t>
  </si>
  <si>
    <t>📌 Estimation Techniques: PERT | Three-Point | Story Points | Analogy | Use Case Points</t>
  </si>
  <si>
    <t>💡 WHY THIS ESTIMATE?</t>
  </si>
  <si>
    <t>✅ Average of PERT (409.2) &amp; Three-Point (420.3)</t>
  </si>
  <si>
    <t>✅ Both use same 21 requirements (O/M/P values)</t>
  </si>
  <si>
    <t>✅ Reduces single-method estimation bias</t>
  </si>
  <si>
    <t>✅ Represents balanced, defensible consensus</t>
  </si>
  <si>
    <t>💰 Total QA Budget:</t>
  </si>
  <si>
    <t>% of Base</t>
  </si>
  <si>
    <t>📘  LEGEND: How Impact (hrs) is Derived</t>
  </si>
  <si>
    <t>⚡ Risk Level Definitions:</t>
  </si>
  <si>
    <t>🔴 High</t>
  </si>
  <si>
    <t>6-10% of base estimate | 50-60% probability | Major impact on schedule/budget</t>
  </si>
  <si>
    <t>4-5% of base estimate | 30-40% probability | Moderate impact, manageable</t>
  </si>
  <si>
    <t>🟢 Low</t>
  </si>
  <si>
    <t>2-3% of base estimate | 10-20% probability | Minor impact, easily mitigated</t>
  </si>
  <si>
    <t>📊 Expected Impact Calculation:</t>
  </si>
  <si>
    <t>Expected Impact = Impact (hrs) × Probability  →  Total Risk Buffer = Sum of all Expected Impacts</t>
  </si>
  <si>
    <t>Alex Kim</t>
  </si>
  <si>
    <t>Mobile Automation Eng</t>
  </si>
  <si>
    <t>Number of Sprints: 9</t>
  </si>
  <si>
    <t>Sprint Capacity 480 hrs × 9 Sprints</t>
  </si>
  <si>
    <t>📊  WHY ESTIMATES DIFFER — STAKEHOLDER FAQ</t>
  </si>
  <si>
    <t>Why does Story Points (372.5 hrs) show a lower estimate than PERT (409.2 hrs) and Three-Point (420.3 hrs)?</t>
  </si>
  <si>
    <t>Uncertainty</t>
  </si>
  <si>
    <t>Why Different</t>
  </si>
  <si>
    <t>(O+4M+P)/6</t>
  </si>
  <si>
    <t>✅ Includes buffer</t>
  </si>
  <si>
    <t>Waterfall/Hybrid</t>
  </si>
  <si>
    <t>Weighted avg adds risk margin</t>
  </si>
  <si>
    <t>(O+M+P)/3</t>
  </si>
  <si>
    <t>Most conservative estimate</t>
  </si>
  <si>
    <t>SP × Hrs/SP</t>
  </si>
  <si>
    <t>❌ NO buffer</t>
  </si>
  <si>
    <t>Agile/Scrum</t>
  </si>
  <si>
    <t>Direct conversion only</t>
  </si>
  <si>
    <t>Story Points use DIRECT conversion: 149 SP × 2.5 hrs/SP = 372.5 hrs — NO uncertainty buffer added.</t>
  </si>
  <si>
    <t>PERT &amp; Three-Point use O/M/P ranges (229 / 398 / 634 hrs) — these methods INCLUDE uncertainty.</t>
  </si>
  <si>
    <t>The difference (~37-48 hrs) represents the RISK BUFFER that PERT/Three-Point automatically include.</t>
  </si>
  <si>
    <t>Story Points 372.5 hrs ≈ Most Likely (M) of 398 hrs — confirming alignment between methods.</t>
  </si>
  <si>
    <t>🗣️ STAKEHOLDER TALKING POINT</t>
  </si>
  <si>
    <t>Story Points:</t>
  </si>
  <si>
    <t>149 SP × 2.5 hrs/SP</t>
  </si>
  <si>
    <t>The Story Points (372.5 hrs) is BASE effort. PERT (409.2) and Three-Point (420.3) include buffers. The ~42-hr difference (~11%) is the risk margin. Recommend 414.8 hrs.</t>
  </si>
  <si>
    <t>📐 FORMULA COMPARISON</t>
  </si>
  <si>
    <t>149 SP x 2.5</t>
  </si>
  <si>
    <t>372.5 hrs</t>
  </si>
  <si>
    <t>No buffer</t>
  </si>
  <si>
    <t>PERT:</t>
  </si>
  <si>
    <t>409.2 hrs</t>
  </si>
  <si>
    <t>Weighted</t>
  </si>
  <si>
    <t>Three-Point:</t>
  </si>
  <si>
    <t>420.3 hrs</t>
  </si>
  <si>
    <t>Conservative</t>
  </si>
  <si>
    <t>Recommended:</t>
  </si>
  <si>
    <t>414.8 hrs</t>
  </si>
  <si>
    <t>Consensus</t>
  </si>
  <si>
    <t>← QA-specific: 2-5 hrs/UCP (Dev uses 15-25)</t>
  </si>
  <si>
    <t>💡 WHY UCP ESTIMATE DIFFERS &amp; HOW TO CALIBRATE</t>
  </si>
  <si>
    <t>UCP was originally designed for DEVELOPMENT effort. For QA-only estimation, use a lower productivity factor.</t>
  </si>
  <si>
    <t>📊 PRODUCTIVITY FACTOR COMPARISON</t>
  </si>
  <si>
    <t>Estimation Context</t>
  </si>
  <si>
    <t>Factor Range</t>
  </si>
  <si>
    <t>Typical Value</t>
  </si>
  <si>
    <t>Your UCP (132.3)</t>
  </si>
  <si>
    <t>Result</t>
  </si>
  <si>
    <t>Development (Full SDLC)</t>
  </si>
  <si>
    <t>15-25 hrs/UCP</t>
  </si>
  <si>
    <t>20 hrs/UCP</t>
  </si>
  <si>
    <t>132.3 × 20</t>
  </si>
  <si>
    <t>2,646 hrs</t>
  </si>
  <si>
    <t>QA Only (Recommended) ✅</t>
  </si>
  <si>
    <t>2-5 hrs/UCP</t>
  </si>
  <si>
    <t>3 hrs/UCP</t>
  </si>
  <si>
    <t>132.3 × 3</t>
  </si>
  <si>
    <t>396.9 hrs</t>
  </si>
  <si>
    <t>QA + Automation Setup</t>
  </si>
  <si>
    <t>5-8 hrs/UCP</t>
  </si>
  <si>
    <t>6 hrs/UCP</t>
  </si>
  <si>
    <t>132.3 × 6</t>
  </si>
  <si>
    <t>793.8 hrs</t>
  </si>
  <si>
    <t>QA + Test Design</t>
  </si>
  <si>
    <t>8-12 hrs/UCP</t>
  </si>
  <si>
    <t>10 hrs/UCP</t>
  </si>
  <si>
    <t>132.3 × 10</t>
  </si>
  <si>
    <t>1,323 hrs</t>
  </si>
  <si>
    <t>🔑 KEY INSIGHT: Aligning UCP with Other Estimates</t>
  </si>
  <si>
    <t>Using QA-specific factor (3 hrs/UCP): 132.3 × 3 = 396.9 hrs</t>
  </si>
  <si>
    <t>This aligns with PERT (409.2 hrs) &amp; Three-Point (420.3 hrs) ✅</t>
  </si>
  <si>
    <t>"The UCP method shows different results based on the productivity factor. For QA-only scope, we use</t>
  </si>
  <si>
    <t>3 hrs/UCP (industry standard), giving ~397 hrs — consistent with PERT and Three-Point estimates."</t>
  </si>
  <si>
    <t>📐 FORMULA REFERENCE</t>
  </si>
  <si>
    <t>UCP = (UUCW + UAW) × TCF × ECF = (145 + 28) × 0.85 × 0.90 = 132.3</t>
  </si>
  <si>
    <t>QA Hours = UCP × QA Factor = 132.3 × 3.0 = 396.9 hours</t>
  </si>
  <si>
    <t>📐 Use Case Points (UCP)</t>
  </si>
  <si>
    <t>UCP × 3 hrs</t>
  </si>
  <si>
    <t>✅ QA-specific factor</t>
  </si>
  <si>
    <t>Now aligned with others!</t>
  </si>
  <si>
    <t>💡 KEY INSIGHT: All Estimates Now Aligned</t>
  </si>
  <si>
    <t>Team Members Active</t>
  </si>
  <si>
    <t>👥 TEAM RAMP-UP SCHEDULE</t>
  </si>
  <si>
    <t>Joins Sprint</t>
  </si>
  <si>
    <t>Ends Sprint</t>
  </si>
  <si>
    <t>Sprints Active</t>
  </si>
  <si>
    <t>9 (Full project)</t>
  </si>
  <si>
    <t>Manual Tester</t>
  </si>
  <si>
    <t>8 (After Sprint 1)</t>
  </si>
  <si>
    <t>3 (Final sprints)</t>
  </si>
  <si>
    <t>Variance %</t>
  </si>
  <si>
    <t>Join #</t>
  </si>
  <si>
    <t>Allocation %</t>
  </si>
  <si>
    <t>📐 FORMULA EXPLANATION</t>
  </si>
  <si>
    <t>Planned Hrs Formula:</t>
  </si>
  <si>
    <t>Actual Hrs Formula:</t>
  </si>
  <si>
    <t>Variance Formula:</t>
  </si>
  <si>
    <t># QA Formula:</t>
  </si>
  <si>
    <t>💡 TO MODIFY: Change Join # or Allocation % in the Team Ramp-Up table above. All calculations will auto-update!</t>
  </si>
  <si>
    <t>=SUMPRODUCT(($G$21:$G$26&lt;=SprintNum)*$I$21:$I$26)</t>
  </si>
  <si>
    <t>=ROUND(Planned*(1-Variance%),0)</t>
  </si>
  <si>
    <t>=Planned Hrs - Actual Hrs</t>
  </si>
  <si>
    <t>=SUMPRODUCT(($G$21:$G$26&lt;=SprintNum)*1)</t>
  </si>
  <si>
    <t>QA Lead, Test Analyst, Automation, Mobile, Manual Tester</t>
  </si>
  <si>
    <t>QA Lead, Test Analyst, Automation, Mobile, Manual Tester, Perf</t>
  </si>
  <si>
    <t>QA Lead, Test Analyst, Automation, Manual 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</si>
</sst>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&quot;$&quot;#,##0.00"/>
    <numFmt numFmtId="165" formatCode="0.0"/>
    <numFmt numFmtId="166" formatCode="#,##0.0"/>
    <numFmt numFmtId="167" formatCode="&quot;$&quot;#,##0"/>
    <numFmt numFmtId="168" formatCode="0.0%"/>
  </numFmts>
  <fonts count="6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  <font>
      <sz val="9"/>
      <color rgb="FF000000"/>
      <name val="Segoe UI"/>
      <family val="2"/>
    </font>
    <font>
      <b/>
      <sz val="9"/>
      <color rgb="FF000000"/>
      <name val="Segoe UI"/>
      <family val="2"/>
    </font>
    <font>
      <b/>
      <sz val="18"/>
      <color rgb="FFFFFFFF"/>
      <name val="Segoe UI"/>
      <family val="2"/>
    </font>
    <font>
      <b/>
      <sz val="11"/>
      <color rgb="FFFFFFFF"/>
      <name val="Segoe UI"/>
      <family val="2"/>
    </font>
    <font>
      <b/>
      <sz val="12"/>
      <color rgb="FFFFFFFF"/>
      <name val="Segoe UI"/>
      <family val="2"/>
    </font>
    <font>
      <b/>
      <sz val="10"/>
      <color rgb="FFFFFFFF"/>
      <name val="Segoe U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FFFF"/>
      <name val="Segoe UI"/>
      <family val="2"/>
    </font>
    <font>
      <b/>
      <sz val="16"/>
      <color rgb="FFFFFFFF"/>
      <name val="Calibri"/>
      <family val="2"/>
      <scheme val="minor"/>
    </font>
    <font>
      <b/>
      <sz val="14"/>
      <color rgb="FFFFFFFF"/>
      <name val="Segoe UI"/>
      <family val="2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333333"/>
      <name val="Segoe UI"/>
      <family val="2"/>
    </font>
    <font>
      <b/>
      <sz val="10"/>
      <color rgb="FF1E3A5F"/>
      <name val="Segoe UI"/>
      <family val="2"/>
    </font>
    <font>
      <i/>
      <sz val="9"/>
      <color rgb="FF888888"/>
      <name val="Segoe UI"/>
      <family val="2"/>
    </font>
    <font>
      <b/>
      <sz val="10"/>
      <color rgb="FF333333"/>
      <name val="Segoe UI"/>
      <family val="2"/>
    </font>
    <font>
      <b/>
      <sz val="11"/>
      <color rgb="FF1E3A5F"/>
      <name val="Segoe UI"/>
      <family val="2"/>
    </font>
    <font>
      <i/>
      <sz val="10"/>
      <color rgb="FFE8EDF2"/>
      <name val="Segoe UI"/>
      <family val="2"/>
    </font>
    <font>
      <i/>
      <sz val="9"/>
      <color rgb="FFE8EDF2"/>
      <name val="Segoe UI"/>
      <family val="2"/>
    </font>
    <font>
      <sz val="10"/>
      <color rgb="FF1E3A5F"/>
      <name val="Segoe UI"/>
      <family val="2"/>
    </font>
    <font>
      <b/>
      <sz val="12"/>
      <color rgb="FF1E3A5F"/>
      <name val="Segoe UI"/>
      <family val="2"/>
    </font>
    <font>
      <b/>
      <i/>
      <sz val="9"/>
      <color rgb="FF1E3A5F"/>
      <name val="Segoe UI"/>
      <family val="2"/>
    </font>
    <font>
      <i/>
      <sz val="9"/>
      <color rgb="FFE8EDF2"/>
      <name val="Calibri"/>
      <family val="2"/>
      <scheme val="minor"/>
    </font>
    <font>
      <b/>
      <sz val="11"/>
      <color rgb="FFE65100"/>
      <name val="Segoe UI"/>
      <family val="2"/>
    </font>
    <font>
      <b/>
      <sz val="12"/>
      <color rgb="FFE65100"/>
      <name val="Segoe UI"/>
      <family val="2"/>
    </font>
    <font>
      <b/>
      <sz val="12"/>
      <color rgb="FFE65100"/>
      <name val="Calibri"/>
      <family val="2"/>
      <scheme val="minor"/>
    </font>
    <font>
      <i/>
      <sz val="9"/>
      <color rgb="FF1E3A5F"/>
      <name val="Segoe UI"/>
      <family val="2"/>
    </font>
    <font>
      <b/>
      <sz val="10"/>
      <color rgb="FFC62828"/>
      <name val="Segoe UI"/>
      <family val="2"/>
    </font>
    <font>
      <b/>
      <sz val="9"/>
      <color rgb="FFFFFFFF"/>
      <name val="Segoe UI"/>
      <family val="2"/>
    </font>
    <font>
      <b/>
      <sz val="10"/>
      <color rgb="FF1E3A5F"/>
      <name val="Segoe UI"/>
    </font>
    <font>
      <sz val="10"/>
      <color rgb="FF000000"/>
      <name val="Segoe UI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E3A5F"/>
      <name val="Calibri"/>
      <family val="2"/>
      <scheme val="minor"/>
    </font>
    <font>
      <b/>
      <sz val="11"/>
      <color rgb="FF2E7D32"/>
      <name val="Calibri"/>
      <family val="2"/>
      <scheme val="minor"/>
    </font>
    <font>
      <sz val="11"/>
      <color rgb="FF1E3A5F"/>
      <name val="Calibri"/>
      <family val="2"/>
      <scheme val="minor"/>
    </font>
    <font>
      <i/>
      <sz val="11"/>
      <color rgb="FF1E3A5F"/>
      <name val="Calibri"/>
      <family val="2"/>
      <scheme val="minor"/>
    </font>
    <font>
      <i/>
      <sz val="11"/>
      <color rgb="FF2E5984"/>
      <name val="Calibri"/>
      <family val="2"/>
      <scheme val="minor"/>
    </font>
    <font>
      <i/>
      <sz val="10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rgb="FF666666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E3A5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10"/>
      <color rgb="FF1E3A5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1E3A5F"/>
      <name val="Calibri"/>
      <family val="2"/>
      <scheme val="minor"/>
    </font>
    <font>
      <b/>
      <sz val="11"/>
      <color rgb="FFE65100"/>
      <name val="Calibri"/>
      <family val="2"/>
      <scheme val="minor"/>
    </font>
    <font>
      <b/>
      <sz val="18"/>
      <color rgb="FF2E7D32"/>
      <name val="Calibri"/>
      <family val="2"/>
      <scheme val="minor"/>
    </font>
    <font>
      <b/>
      <sz val="14"/>
      <color rgb="FFE65100"/>
      <name val="Calibri"/>
      <family val="2"/>
      <scheme val="minor"/>
    </font>
    <font>
      <b/>
      <sz val="10"/>
      <color rgb="FF1E3A5F"/>
      <name val="Calibri"/>
      <family val="2"/>
      <scheme val="minor"/>
    </font>
    <font>
      <b/>
      <sz val="18"/>
      <color rgb="FF1E3A5F"/>
      <name val="Calibri"/>
      <family val="2"/>
      <scheme val="minor"/>
    </font>
    <font>
      <b/>
      <sz val="10"/>
      <color rgb="FFE65100"/>
      <name val="Calibri"/>
      <family val="2"/>
      <scheme val="minor"/>
    </font>
    <font>
      <b/>
      <sz val="10"/>
      <color rgb="FF2E7D32"/>
      <name val="Calibri"/>
      <family val="2"/>
      <scheme val="minor"/>
    </font>
    <font>
      <b/>
      <sz val="24"/>
      <color rgb="FF2E7D32"/>
      <name val="Calibri"/>
      <family val="2"/>
      <scheme val="minor"/>
    </font>
    <font>
      <sz val="9"/>
      <color rgb="FF1E3A5F"/>
      <name val="Calibri"/>
      <family val="2"/>
      <scheme val="minor"/>
    </font>
    <font>
      <b/>
      <sz val="12"/>
      <color rgb="FF2E7D32"/>
      <name val="Calibri"/>
      <family val="2"/>
      <scheme val="minor"/>
    </font>
    <font>
      <b/>
      <sz val="16"/>
      <color rgb="FFC62828"/>
      <name val="Calibri"/>
      <family val="2"/>
      <scheme val="minor"/>
    </font>
    <font>
      <b/>
      <sz val="16"/>
      <color rgb="FFE65100"/>
      <name val="Calibri"/>
      <family val="2"/>
      <scheme val="minor"/>
    </font>
    <font>
      <b/>
      <sz val="16"/>
      <color rgb="FF2E7D32"/>
      <name val="Calibri"/>
      <family val="2"/>
      <scheme val="minor"/>
    </font>
    <font>
      <b/>
      <sz val="12"/>
      <name val="Segoe UI"/>
      <family val="2"/>
    </font>
    <font>
      <sz val="11"/>
      <color rgb="FF2E5984"/>
      <name val="Consolas"/>
      <family val="3"/>
    </font>
    <font>
      <b/>
      <i/>
      <sz val="10"/>
      <color rgb="FF1E3A5F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E1E2E"/>
      </patternFill>
    </fill>
    <fill>
      <patternFill patternType="solid">
        <fgColor rgb="FF12122A"/>
      </patternFill>
    </fill>
    <fill>
      <patternFill patternType="solid">
        <fgColor rgb="FF00D4AA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F9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E8EDF2"/>
        <bgColor indexed="64"/>
      </patternFill>
    </fill>
    <fill>
      <patternFill patternType="solid">
        <fgColor rgb="FFD4A84B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AFBF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E5737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8E8E8"/>
        <bgColor indexed="64"/>
      </patternFill>
    </fill>
  </fills>
  <borders count="122">
    <border>
      <left/>
      <right/>
      <top/>
      <bottom/>
      <diagonal/>
    </border>
    <border>
      <left style="thin">
        <color rgb="FF6C63FF"/>
      </left>
      <right style="thin">
        <color rgb="FF6C63FF"/>
      </right>
      <top style="thin">
        <color rgb="FF6C63FF"/>
      </top>
      <bottom style="thin">
        <color rgb="FF6C63FF"/>
      </bottom>
      <diagonal/>
    </border>
    <border>
      <left style="thin">
        <color rgb="FF3A3A5C"/>
      </left>
      <right style="thin">
        <color rgb="FF3A3A5C"/>
      </right>
      <top style="thin">
        <color rgb="FF3A3A5C"/>
      </top>
      <bottom style="thin">
        <color rgb="FF3A3A5C"/>
      </bottom>
      <diagonal/>
    </border>
    <border>
      <left style="thin">
        <color rgb="FF3A3A5C"/>
      </left>
      <right style="thin">
        <color rgb="FF3A3A5C"/>
      </right>
      <top style="medium">
        <color rgb="FF00D4AA"/>
      </top>
      <bottom style="thin">
        <color rgb="FF3A3A5C"/>
      </bottom>
      <diagonal/>
    </border>
    <border>
      <left style="thin">
        <color rgb="FF00D4AA"/>
      </left>
      <right style="thin">
        <color rgb="FF00D4AA"/>
      </right>
      <top style="thin">
        <color rgb="FF00D4AA"/>
      </top>
      <bottom style="thin">
        <color rgb="FF00D4AA"/>
      </bottom>
      <diagonal/>
    </border>
    <border>
      <left style="thin">
        <color rgb="FF3A3A5C"/>
      </left>
      <right style="thin">
        <color rgb="FF3A3A5C"/>
      </right>
      <top style="medium">
        <color rgb="FFFFD93D"/>
      </top>
      <bottom style="thin">
        <color rgb="FF3A3A5C"/>
      </bottom>
      <diagonal/>
    </border>
    <border>
      <left style="thin">
        <color rgb="FF4ECDC4"/>
      </left>
      <right style="thin">
        <color rgb="FF4ECDC4"/>
      </right>
      <top style="thin">
        <color rgb="FF4ECDC4"/>
      </top>
      <bottom style="thin">
        <color rgb="FF4ECDC4"/>
      </bottom>
      <diagonal/>
    </border>
    <border>
      <left style="thin">
        <color rgb="FFFF8C42"/>
      </left>
      <right style="thin">
        <color rgb="FFFF8C42"/>
      </right>
      <top style="thin">
        <color rgb="FFFF8C42"/>
      </top>
      <bottom style="thin">
        <color rgb="FFFF8C42"/>
      </bottom>
      <diagonal/>
    </border>
    <border>
      <left style="thin">
        <color rgb="FF3A3A5C"/>
      </left>
      <right style="thin">
        <color rgb="FF3A3A5C"/>
      </right>
      <top style="medium">
        <color rgb="FFFF8C42"/>
      </top>
      <bottom style="thin">
        <color rgb="FF3A3A5C"/>
      </bottom>
      <diagonal/>
    </border>
    <border>
      <left style="thin">
        <color rgb="FFFFD93D"/>
      </left>
      <right style="thin">
        <color rgb="FFFFD93D"/>
      </right>
      <top style="thin">
        <color rgb="FFFFD93D"/>
      </top>
      <bottom style="thin">
        <color rgb="FFFFD93D"/>
      </bottom>
      <diagonal/>
    </border>
    <border>
      <left style="medium">
        <color rgb="FF2C3E50"/>
      </left>
      <right/>
      <top style="medium">
        <color rgb="FF2C3E50"/>
      </top>
      <bottom/>
      <diagonal/>
    </border>
    <border>
      <left/>
      <right style="medium">
        <color rgb="FF2C3E50"/>
      </right>
      <top style="medium">
        <color rgb="FF2C3E50"/>
      </top>
      <bottom/>
      <diagonal/>
    </border>
    <border>
      <left/>
      <right style="medium">
        <color rgb="FF2C3E50"/>
      </right>
      <top/>
      <bottom style="medium">
        <color rgb="FF2C3E50"/>
      </bottom>
      <diagonal/>
    </border>
    <border>
      <left/>
      <right style="medium">
        <color rgb="FF2C3E50"/>
      </right>
      <top style="thin">
        <color rgb="FFBDC3C7"/>
      </top>
      <bottom style="thin">
        <color rgb="FFBDC3C7"/>
      </bottom>
      <diagonal/>
    </border>
    <border>
      <left/>
      <right style="medium">
        <color rgb="FF2C3E50"/>
      </right>
      <top style="thin">
        <color rgb="FFBDC3C7"/>
      </top>
      <bottom/>
      <diagonal/>
    </border>
    <border>
      <left/>
      <right style="medium">
        <color rgb="FF2C3E50"/>
      </right>
      <top style="thin">
        <color rgb="FF3A3A5C"/>
      </top>
      <bottom/>
      <diagonal/>
    </border>
    <border>
      <left style="medium">
        <color rgb="FF2C3E50"/>
      </left>
      <right style="thin">
        <color rgb="FFBDC3C7"/>
      </right>
      <top style="thin">
        <color rgb="FF3A3A5C"/>
      </top>
      <bottom/>
      <diagonal/>
    </border>
    <border>
      <left style="medium">
        <color rgb="FF2C3E50"/>
      </left>
      <right style="thin">
        <color rgb="FFBDC3C7"/>
      </right>
      <top style="thin">
        <color rgb="FFBDC3C7"/>
      </top>
      <bottom/>
      <diagonal/>
    </border>
    <border>
      <left style="medium">
        <color rgb="FF2C3E50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2C3E50"/>
      </left>
      <right style="thin">
        <color rgb="FFBDC3C7"/>
      </right>
      <top/>
      <bottom style="medium">
        <color rgb="FF2C3E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00D4AA"/>
      </top>
      <bottom style="thin">
        <color indexed="64"/>
      </bottom>
      <diagonal/>
    </border>
    <border>
      <left/>
      <right/>
      <top style="medium">
        <color rgb="FF00D4AA"/>
      </top>
      <bottom style="thin">
        <color indexed="64"/>
      </bottom>
      <diagonal/>
    </border>
    <border>
      <left/>
      <right style="thin">
        <color rgb="FF3A3A5C"/>
      </right>
      <top style="medium">
        <color rgb="FF00D4AA"/>
      </top>
      <bottom style="thin">
        <color indexed="64"/>
      </bottom>
      <diagonal/>
    </border>
    <border>
      <left style="thin">
        <color rgb="FF6C63FF"/>
      </left>
      <right style="thin">
        <color rgb="FF6C63FF"/>
      </right>
      <top style="thin">
        <color rgb="FF6C63FF"/>
      </top>
      <bottom/>
      <diagonal/>
    </border>
    <border>
      <left/>
      <right/>
      <top style="thick">
        <color rgb="FFD4A84B"/>
      </top>
      <bottom/>
      <diagonal/>
    </border>
    <border>
      <left style="thin">
        <color rgb="FFD9E2EC"/>
      </left>
      <right style="thin">
        <color rgb="FF3A3A5C"/>
      </right>
      <top style="thin">
        <color rgb="FFD9E2EC"/>
      </top>
      <bottom style="thin">
        <color rgb="FFE8EDF2"/>
      </bottom>
      <diagonal/>
    </border>
    <border>
      <left style="thin">
        <color rgb="FF3A3A5C"/>
      </left>
      <right style="thin">
        <color rgb="FF3A3A5C"/>
      </right>
      <top style="thin">
        <color rgb="FFD9E2EC"/>
      </top>
      <bottom style="thin">
        <color rgb="FFE8EDF2"/>
      </bottom>
      <diagonal/>
    </border>
    <border>
      <left style="thin">
        <color rgb="FF3A3A5C"/>
      </left>
      <right style="thin">
        <color rgb="FFD9E2EC"/>
      </right>
      <top style="thin">
        <color rgb="FFD9E2EC"/>
      </top>
      <bottom style="thin">
        <color rgb="FFE8EDF2"/>
      </bottom>
      <diagonal/>
    </border>
    <border>
      <left style="thin">
        <color rgb="FFD9E2EC"/>
      </left>
      <right style="thin">
        <color rgb="FF3A3A5C"/>
      </right>
      <top style="thin">
        <color rgb="FFE8EDF2"/>
      </top>
      <bottom style="thin">
        <color rgb="FFE8EDF2"/>
      </bottom>
      <diagonal/>
    </border>
    <border>
      <left style="thin">
        <color rgb="FF3A3A5C"/>
      </left>
      <right style="thin">
        <color rgb="FF3A3A5C"/>
      </right>
      <top style="thin">
        <color rgb="FFE8EDF2"/>
      </top>
      <bottom style="thin">
        <color rgb="FFE8EDF2"/>
      </bottom>
      <diagonal/>
    </border>
    <border>
      <left style="thin">
        <color rgb="FF3A3A5C"/>
      </left>
      <right style="thin">
        <color rgb="FFD9E2EC"/>
      </right>
      <top style="thin">
        <color rgb="FFE8EDF2"/>
      </top>
      <bottom style="thin">
        <color rgb="FFE8EDF2"/>
      </bottom>
      <diagonal/>
    </border>
    <border>
      <left style="thin">
        <color rgb="FFD9E2EC"/>
      </left>
      <right style="thin">
        <color rgb="FF3A3A5C"/>
      </right>
      <top style="thin">
        <color rgb="FFE8EDF2"/>
      </top>
      <bottom style="thin">
        <color rgb="FFD9E2EC"/>
      </bottom>
      <diagonal/>
    </border>
    <border>
      <left style="thin">
        <color rgb="FF3A3A5C"/>
      </left>
      <right style="thin">
        <color rgb="FF3A3A5C"/>
      </right>
      <top style="thin">
        <color rgb="FFE8EDF2"/>
      </top>
      <bottom style="thin">
        <color rgb="FFD9E2EC"/>
      </bottom>
      <diagonal/>
    </border>
    <border>
      <left style="thin">
        <color rgb="FF3A3A5C"/>
      </left>
      <right style="thin">
        <color rgb="FFD9E2EC"/>
      </right>
      <top style="thin">
        <color rgb="FFE8EDF2"/>
      </top>
      <bottom style="thin">
        <color rgb="FFD9E2EC"/>
      </bottom>
      <diagonal/>
    </border>
    <border>
      <left style="thin">
        <color rgb="FFD9E2EC"/>
      </left>
      <right style="thin">
        <color rgb="FFE8EDF2"/>
      </right>
      <top style="thin">
        <color rgb="FFD9E2EC"/>
      </top>
      <bottom style="thin">
        <color rgb="FFE8EDF2"/>
      </bottom>
      <diagonal/>
    </border>
    <border>
      <left style="thin">
        <color rgb="FFE8EDF2"/>
      </left>
      <right style="thin">
        <color rgb="FFE8EDF2"/>
      </right>
      <top style="thin">
        <color rgb="FFD9E2EC"/>
      </top>
      <bottom style="thin">
        <color rgb="FFE8EDF2"/>
      </bottom>
      <diagonal/>
    </border>
    <border>
      <left style="thin">
        <color rgb="FFE8EDF2"/>
      </left>
      <right style="thin">
        <color rgb="FFD9E2EC"/>
      </right>
      <top style="thin">
        <color rgb="FFD9E2EC"/>
      </top>
      <bottom style="thin">
        <color rgb="FFE8EDF2"/>
      </bottom>
      <diagonal/>
    </border>
    <border>
      <left style="thin">
        <color rgb="FFD9E2EC"/>
      </left>
      <right style="thin">
        <color rgb="FFE8EDF2"/>
      </right>
      <top style="thin">
        <color rgb="FFE8EDF2"/>
      </top>
      <bottom style="thin">
        <color rgb="FFE8EDF2"/>
      </bottom>
      <diagonal/>
    </border>
    <border>
      <left style="thin">
        <color rgb="FFE8EDF2"/>
      </left>
      <right style="thin">
        <color rgb="FFE8EDF2"/>
      </right>
      <top style="thin">
        <color rgb="FFE8EDF2"/>
      </top>
      <bottom style="thin">
        <color rgb="FFE8EDF2"/>
      </bottom>
      <diagonal/>
    </border>
    <border>
      <left style="thin">
        <color rgb="FFE8EDF2"/>
      </left>
      <right style="thin">
        <color rgb="FFD9E2EC"/>
      </right>
      <top style="thin">
        <color rgb="FFE8EDF2"/>
      </top>
      <bottom style="thin">
        <color rgb="FFE8EDF2"/>
      </bottom>
      <diagonal/>
    </border>
    <border>
      <left style="thin">
        <color rgb="FFD9E2EC"/>
      </left>
      <right style="thin">
        <color rgb="FFE8EDF2"/>
      </right>
      <top style="thin">
        <color rgb="FFE8EDF2"/>
      </top>
      <bottom style="thin">
        <color rgb="FFD9E2EC"/>
      </bottom>
      <diagonal/>
    </border>
    <border>
      <left style="thin">
        <color rgb="FFE8EDF2"/>
      </left>
      <right style="thin">
        <color rgb="FFE8EDF2"/>
      </right>
      <top style="thin">
        <color rgb="FFE8EDF2"/>
      </top>
      <bottom style="thin">
        <color rgb="FFD9E2EC"/>
      </bottom>
      <diagonal/>
    </border>
    <border>
      <left style="thin">
        <color rgb="FFE8EDF2"/>
      </left>
      <right style="thin">
        <color rgb="FFD9E2EC"/>
      </right>
      <top style="thin">
        <color rgb="FFE8EDF2"/>
      </top>
      <bottom style="thin">
        <color rgb="FFD9E2EC"/>
      </bottom>
      <diagonal/>
    </border>
    <border>
      <left style="thin">
        <color rgb="FF00D4AA"/>
      </left>
      <right style="thin">
        <color rgb="FF00D4AA"/>
      </right>
      <top style="thin">
        <color rgb="FF00D4AA"/>
      </top>
      <bottom/>
      <diagonal/>
    </border>
    <border>
      <left style="thin">
        <color rgb="FF1E3A5F"/>
      </left>
      <right style="thin">
        <color rgb="FFD9E2EC"/>
      </right>
      <top style="thin">
        <color rgb="FF1E3A5F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1E3A5F"/>
      </top>
      <bottom style="thin">
        <color rgb="FFD9E2EC"/>
      </bottom>
      <diagonal/>
    </border>
    <border>
      <left style="thin">
        <color rgb="FFD9E2EC"/>
      </left>
      <right style="thin">
        <color rgb="FF1E3A5F"/>
      </right>
      <top style="thin">
        <color rgb="FF1E3A5F"/>
      </top>
      <bottom style="thin">
        <color rgb="FFD9E2EC"/>
      </bottom>
      <diagonal/>
    </border>
    <border>
      <left style="thin">
        <color rgb="FF1E3A5F"/>
      </left>
      <right style="thin">
        <color rgb="FF3A3A5C"/>
      </right>
      <top style="medium">
        <color rgb="FF1E3A5F"/>
      </top>
      <bottom style="thin">
        <color rgb="FFE8EDF2"/>
      </bottom>
      <diagonal/>
    </border>
    <border>
      <left style="thin">
        <color rgb="FF3A3A5C"/>
      </left>
      <right style="thin">
        <color rgb="FF1E3A5F"/>
      </right>
      <top style="medium">
        <color rgb="FF1E3A5F"/>
      </top>
      <bottom style="thin">
        <color rgb="FFE8EDF2"/>
      </bottom>
      <diagonal/>
    </border>
    <border>
      <left style="thin">
        <color rgb="FF1E3A5F"/>
      </left>
      <right style="thin">
        <color rgb="FF3A3A5C"/>
      </right>
      <top style="thin">
        <color rgb="FFE8EDF2"/>
      </top>
      <bottom style="thin">
        <color rgb="FFE8EDF2"/>
      </bottom>
      <diagonal/>
    </border>
    <border>
      <left style="thin">
        <color rgb="FF3A3A5C"/>
      </left>
      <right style="thin">
        <color rgb="FF1E3A5F"/>
      </right>
      <top style="thin">
        <color rgb="FFE8EDF2"/>
      </top>
      <bottom style="thin">
        <color rgb="FFE8EDF2"/>
      </bottom>
      <diagonal/>
    </border>
    <border>
      <left style="thin">
        <color rgb="FF1E3A5F"/>
      </left>
      <right style="thin">
        <color rgb="FF3A3A5C"/>
      </right>
      <top style="thin">
        <color rgb="FFE8EDF2"/>
      </top>
      <bottom style="medium">
        <color rgb="FF1E3A5F"/>
      </bottom>
      <diagonal/>
    </border>
    <border>
      <left style="thin">
        <color rgb="FF3A3A5C"/>
      </left>
      <right style="thin">
        <color rgb="FF1E3A5F"/>
      </right>
      <top style="thin">
        <color rgb="FFE8EDF2"/>
      </top>
      <bottom style="medium">
        <color rgb="FF1E3A5F"/>
      </bottom>
      <diagonal/>
    </border>
    <border>
      <left style="thin">
        <color rgb="FF1E3A5F"/>
      </left>
      <right style="thin">
        <color rgb="FFE8EDF2"/>
      </right>
      <top style="medium">
        <color rgb="FF1E3A5F"/>
      </top>
      <bottom style="thin">
        <color rgb="FFE8EDF2"/>
      </bottom>
      <diagonal/>
    </border>
    <border>
      <left style="thin">
        <color rgb="FFE8EDF2"/>
      </left>
      <right style="thin">
        <color rgb="FFE8EDF2"/>
      </right>
      <top style="medium">
        <color rgb="FF1E3A5F"/>
      </top>
      <bottom style="thin">
        <color rgb="FFE8EDF2"/>
      </bottom>
      <diagonal/>
    </border>
    <border>
      <left style="thin">
        <color rgb="FFE8EDF2"/>
      </left>
      <right style="thin">
        <color rgb="FF1E3A5F"/>
      </right>
      <top style="medium">
        <color rgb="FF1E3A5F"/>
      </top>
      <bottom style="thin">
        <color rgb="FFE8EDF2"/>
      </bottom>
      <diagonal/>
    </border>
    <border>
      <left style="thin">
        <color rgb="FF1E3A5F"/>
      </left>
      <right style="thin">
        <color rgb="FFE8EDF2"/>
      </right>
      <top style="thin">
        <color rgb="FFE8EDF2"/>
      </top>
      <bottom style="thin">
        <color rgb="FFE8EDF2"/>
      </bottom>
      <diagonal/>
    </border>
    <border>
      <left style="thin">
        <color rgb="FFE8EDF2"/>
      </left>
      <right style="thin">
        <color rgb="FF1E3A5F"/>
      </right>
      <top style="thin">
        <color rgb="FFE8EDF2"/>
      </top>
      <bottom style="thin">
        <color rgb="FFE8EDF2"/>
      </bottom>
      <diagonal/>
    </border>
    <border>
      <left style="thin">
        <color rgb="FF1E3A5F"/>
      </left>
      <right style="thin">
        <color rgb="FFE8EDF2"/>
      </right>
      <top style="thin">
        <color rgb="FFE8EDF2"/>
      </top>
      <bottom style="medium">
        <color rgb="FF1E3A5F"/>
      </bottom>
      <diagonal/>
    </border>
    <border>
      <left style="thin">
        <color rgb="FFE8EDF2"/>
      </left>
      <right style="thin">
        <color rgb="FFE8EDF2"/>
      </right>
      <top style="thin">
        <color rgb="FFE8EDF2"/>
      </top>
      <bottom style="medium">
        <color rgb="FF1E3A5F"/>
      </bottom>
      <diagonal/>
    </border>
    <border>
      <left style="thin">
        <color rgb="FFE8EDF2"/>
      </left>
      <right style="thin">
        <color rgb="FF1E3A5F"/>
      </right>
      <top style="thin">
        <color rgb="FFE8EDF2"/>
      </top>
      <bottom style="medium">
        <color rgb="FF1E3A5F"/>
      </bottom>
      <diagonal/>
    </border>
    <border>
      <left style="thin">
        <color rgb="FF4ECDC4"/>
      </left>
      <right style="thin">
        <color rgb="FF4ECDC4"/>
      </right>
      <top style="thin">
        <color rgb="FF4ECDC4"/>
      </top>
      <bottom/>
      <diagonal/>
    </border>
    <border>
      <left style="thin">
        <color rgb="FFFF8C42"/>
      </left>
      <right style="thin">
        <color rgb="FFFF8C42"/>
      </right>
      <top style="thin">
        <color rgb="FFFF8C42"/>
      </top>
      <bottom/>
      <diagonal/>
    </border>
    <border>
      <left style="thin">
        <color rgb="FFFF8C42"/>
      </left>
      <right style="thin">
        <color rgb="FFFF8C42"/>
      </right>
      <top/>
      <bottom style="thin">
        <color rgb="FFFF8C42"/>
      </bottom>
      <diagonal/>
    </border>
    <border>
      <left style="thin">
        <color rgb="FFFFD93D"/>
      </left>
      <right style="thin">
        <color rgb="FFFFD93D"/>
      </right>
      <top style="thin">
        <color rgb="FFFFD93D"/>
      </top>
      <bottom/>
      <diagonal/>
    </border>
    <border>
      <left style="medium">
        <color rgb="FF2C3E50"/>
      </left>
      <right/>
      <top style="thick">
        <color rgb="FFD4A84B"/>
      </top>
      <bottom/>
      <diagonal/>
    </border>
    <border>
      <left/>
      <right style="medium">
        <color rgb="FF2C3E50"/>
      </right>
      <top style="thick">
        <color rgb="FFD4A84B"/>
      </top>
      <bottom/>
      <diagonal/>
    </border>
    <border>
      <left style="thin">
        <color rgb="FF2E7D32"/>
      </left>
      <right/>
      <top/>
      <bottom/>
      <diagonal/>
    </border>
    <border>
      <left/>
      <right style="thin">
        <color rgb="FF2E7D32"/>
      </right>
      <top/>
      <bottom/>
      <diagonal/>
    </border>
    <border>
      <left style="thin">
        <color rgb="FF1E3A5F"/>
      </left>
      <right style="thin">
        <color rgb="FFE8EDF2"/>
      </right>
      <top style="thin">
        <color rgb="FFE8EDF2"/>
      </top>
      <bottom style="thin">
        <color rgb="FFD0D0D0"/>
      </bottom>
      <diagonal/>
    </border>
    <border>
      <left style="thin">
        <color rgb="FFE8EDF2"/>
      </left>
      <right style="thin">
        <color rgb="FFE8EDF2"/>
      </right>
      <top style="thin">
        <color rgb="FFE8EDF2"/>
      </top>
      <bottom style="thin">
        <color rgb="FFD0D0D0"/>
      </bottom>
      <diagonal/>
    </border>
    <border>
      <left style="thin">
        <color rgb="FFE8EDF2"/>
      </left>
      <right style="thin">
        <color rgb="FF1E3A5F"/>
      </right>
      <top style="thin">
        <color rgb="FFE8EDF2"/>
      </top>
      <bottom style="thin">
        <color rgb="FFD0D0D0"/>
      </bottom>
      <diagonal/>
    </border>
    <border>
      <left/>
      <right/>
      <top style="thin">
        <color rgb="FF1E3A5F"/>
      </top>
      <bottom/>
      <diagonal/>
    </border>
    <border>
      <left/>
      <right/>
      <top style="medium">
        <color rgb="FF1E3A5F"/>
      </top>
      <bottom/>
      <diagonal/>
    </border>
    <border>
      <left/>
      <right style="thin">
        <color rgb="FF1E3A5F"/>
      </right>
      <top/>
      <bottom/>
      <diagonal/>
    </border>
    <border>
      <left/>
      <right style="medium">
        <color rgb="FF1E3A5F"/>
      </right>
      <top/>
      <bottom/>
      <diagonal/>
    </border>
    <border>
      <left style="medium">
        <color rgb="FF1E3A5F"/>
      </left>
      <right style="thin">
        <color rgb="FF4ECDC4"/>
      </right>
      <top style="medium">
        <color rgb="FF1E3A5F"/>
      </top>
      <bottom/>
      <diagonal/>
    </border>
    <border>
      <left/>
      <right style="medium">
        <color rgb="FF1E3A5F"/>
      </right>
      <top style="medium">
        <color rgb="FF1E3A5F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2E7D32"/>
      </left>
      <right/>
      <top style="thin">
        <color rgb="FF2E7D32"/>
      </top>
      <bottom/>
      <diagonal/>
    </border>
    <border>
      <left/>
      <right/>
      <top style="thin">
        <color rgb="FF2E7D32"/>
      </top>
      <bottom/>
      <diagonal/>
    </border>
    <border>
      <left/>
      <right style="thin">
        <color rgb="FF2E7D32"/>
      </right>
      <top style="thin">
        <color rgb="FF2E7D32"/>
      </top>
      <bottom/>
      <diagonal/>
    </border>
    <border>
      <left style="thin">
        <color rgb="FF2E7D32"/>
      </left>
      <right/>
      <top/>
      <bottom style="thin">
        <color rgb="FF2E7D32"/>
      </bottom>
      <diagonal/>
    </border>
    <border>
      <left/>
      <right/>
      <top/>
      <bottom style="thin">
        <color rgb="FF2E7D32"/>
      </bottom>
      <diagonal/>
    </border>
    <border>
      <left/>
      <right style="thin">
        <color rgb="FF2E7D32"/>
      </right>
      <top/>
      <bottom style="thin">
        <color rgb="FF2E7D3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1E3A5F"/>
      </left>
      <right/>
      <top/>
      <bottom/>
      <diagonal/>
    </border>
    <border>
      <left/>
      <right style="thin">
        <color rgb="FF1E3A5F"/>
      </right>
      <top style="thin">
        <color rgb="FF1E3A5F"/>
      </top>
      <bottom/>
      <diagonal/>
    </border>
    <border>
      <left/>
      <right/>
      <top/>
      <bottom style="thin">
        <color rgb="FF1E3A5F"/>
      </bottom>
      <diagonal/>
    </border>
    <border>
      <left/>
      <right style="thin">
        <color rgb="FF1E3A5F"/>
      </right>
      <top/>
      <bottom style="thin">
        <color rgb="FF1E3A5F"/>
      </bottom>
      <diagonal/>
    </border>
    <border>
      <left/>
      <right/>
      <top/>
      <bottom style="medium">
        <color rgb="FF1E3A5F"/>
      </bottom>
      <diagonal/>
    </border>
    <border>
      <left/>
      <right style="medium">
        <color rgb="FF1E3A5F"/>
      </right>
      <top/>
      <bottom style="medium">
        <color rgb="FF1E3A5F"/>
      </bottom>
      <diagonal/>
    </border>
    <border>
      <left style="thick">
        <color rgb="FFD4A84B"/>
      </left>
      <right/>
      <top style="medium">
        <color rgb="FF1E3A5F"/>
      </top>
      <bottom/>
      <diagonal/>
    </border>
    <border>
      <left style="thick">
        <color rgb="FFD4A84B"/>
      </left>
      <right/>
      <top/>
      <bottom/>
      <diagonal/>
    </border>
    <border>
      <left style="thick">
        <color rgb="FFD4A84B"/>
      </left>
      <right/>
      <top/>
      <bottom style="medium">
        <color rgb="FF1E3A5F"/>
      </bottom>
      <diagonal/>
    </border>
    <border>
      <left style="medium">
        <color rgb="FF1E3A5F"/>
      </left>
      <right/>
      <top style="thin">
        <color rgb="FFBDBDBD"/>
      </top>
      <bottom style="medium">
        <color rgb="FF1E3A5F"/>
      </bottom>
      <diagonal/>
    </border>
    <border>
      <left/>
      <right/>
      <top style="thin">
        <color rgb="FFBDBDBD"/>
      </top>
      <bottom style="medium">
        <color rgb="FF1E3A5F"/>
      </bottom>
      <diagonal/>
    </border>
    <border>
      <left style="medium">
        <color rgb="FF1E3A5F"/>
      </left>
      <right style="thin">
        <color rgb="FFBDBDBD"/>
      </right>
      <top style="medium">
        <color rgb="FF1E3A5F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medium">
        <color rgb="FF1E3A5F"/>
      </top>
      <bottom style="thin">
        <color rgb="FFBDBDBD"/>
      </bottom>
      <diagonal/>
    </border>
    <border>
      <left style="thin">
        <color rgb="FFBDBDBD"/>
      </left>
      <right style="medium">
        <color rgb="FF1E3A5F"/>
      </right>
      <top style="medium">
        <color rgb="FF1E3A5F"/>
      </top>
      <bottom style="thin">
        <color rgb="FFBDBDBD"/>
      </bottom>
      <diagonal/>
    </border>
    <border>
      <left style="medium">
        <color rgb="FF1E3A5F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medium">
        <color rgb="FF1E3A5F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medium">
        <color rgb="FF1E3A5F"/>
      </right>
      <top style="thin">
        <color rgb="FFBDBDBD"/>
      </top>
      <bottom style="medium">
        <color rgb="FF1E3A5F"/>
      </bottom>
      <diagonal/>
    </border>
    <border>
      <left style="thin">
        <color rgb="FF1E3A5F"/>
      </left>
      <right/>
      <top style="thin">
        <color rgb="FF1E3A5F"/>
      </top>
      <bottom/>
      <diagonal/>
    </border>
    <border>
      <left style="thin">
        <color rgb="FF1E3A5F"/>
      </left>
      <right/>
      <top/>
      <bottom style="thin">
        <color rgb="FF1E3A5F"/>
      </bottom>
      <diagonal/>
    </border>
    <border>
      <left/>
      <right style="thin">
        <color rgb="FFBDBDBD"/>
      </right>
      <top style="thin">
        <color rgb="FFBDBDBD"/>
      </top>
      <bottom style="medium">
        <color rgb="FF1E3A5F"/>
      </bottom>
      <diagonal/>
    </border>
    <border>
      <left style="thin">
        <color rgb="FF1E3A5F"/>
      </left>
      <right style="thin">
        <color rgb="FFE8EDF2"/>
      </right>
      <top style="thin">
        <color rgb="FFE8EDF2"/>
      </top>
      <bottom style="medium">
        <color rgb="FFCCCCCC"/>
      </bottom>
      <diagonal/>
    </border>
    <border>
      <left style="thin">
        <color rgb="FF1E3A5F"/>
      </left>
      <right style="thin">
        <color rgb="FFE0E0E0"/>
      </right>
      <top style="thin">
        <color rgb="FF1E3A5F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1E3A5F"/>
      </top>
      <bottom style="thin">
        <color rgb="FFE0E0E0"/>
      </bottom>
      <diagonal/>
    </border>
    <border>
      <left style="thin">
        <color rgb="FFE0E0E0"/>
      </left>
      <right style="thin">
        <color rgb="FF1E3A5F"/>
      </right>
      <top style="thin">
        <color rgb="FF1E3A5F"/>
      </top>
      <bottom style="thin">
        <color rgb="FFE0E0E0"/>
      </bottom>
      <diagonal/>
    </border>
    <border>
      <left style="thin">
        <color rgb="FF1E3A5F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1E3A5F"/>
      </right>
      <top style="thin">
        <color rgb="FFE0E0E0"/>
      </top>
      <bottom style="thin">
        <color rgb="FFE0E0E0"/>
      </bottom>
      <diagonal/>
    </border>
    <border>
      <left style="thin">
        <color rgb="FF1E3A5F"/>
      </left>
      <right style="thin">
        <color rgb="FFE0E0E0"/>
      </right>
      <top style="thin">
        <color rgb="FFE0E0E0"/>
      </top>
      <bottom style="medium">
        <color rgb="FFD4A84B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D4A84B"/>
      </bottom>
      <diagonal/>
    </border>
    <border>
      <left style="thin">
        <color rgb="FFE0E0E0"/>
      </left>
      <right style="thin">
        <color rgb="FF1E3A5F"/>
      </right>
      <top style="thin">
        <color rgb="FFE0E0E0"/>
      </top>
      <bottom style="medium">
        <color rgb="FFD4A84B"/>
      </bottom>
      <diagonal/>
    </border>
  </borders>
  <cellStyleXfs count="1">
    <xf numFmtId="0" fontId="0" fillId="0" borderId="0"/>
  </cellStyleXfs>
  <cellXfs count="559">
    <xf numFmtId="0" fontId="0" fillId="0" borderId="0" xfId="0"/>
    <xf numFmtId="0" fontId="1" fillId="2" borderId="0" xfId="0" applyFont="1" applyFill="1"/>
    <xf numFmtId="0" fontId="4" fillId="2" borderId="0" xfId="0" applyFont="1" applyFill="1"/>
    <xf numFmtId="0" fontId="9" fillId="6" borderId="20" xfId="0" applyFont="1" applyFill="1" applyBorder="1" applyAlignment="1">
      <alignment horizontal="center" vertical="center"/>
    </xf>
    <xf numFmtId="0" fontId="11" fillId="0" borderId="0" xfId="0" applyFont="1"/>
    <xf numFmtId="0" fontId="6" fillId="13" borderId="0" xfId="0" applyFont="1" applyFill="1" applyAlignment="1">
      <alignment horizontal="center" vertical="center"/>
    </xf>
    <xf numFmtId="0" fontId="3" fillId="2" borderId="0" xfId="0" applyFont="1" applyFill="1"/>
    <xf numFmtId="0" fontId="3" fillId="10" borderId="20" xfId="0" applyFont="1" applyFill="1" applyBorder="1"/>
    <xf numFmtId="0" fontId="3" fillId="8" borderId="20" xfId="0" applyFont="1" applyFill="1" applyBorder="1"/>
    <xf numFmtId="0" fontId="3" fillId="7" borderId="20" xfId="0" applyFont="1" applyFill="1" applyBorder="1"/>
    <xf numFmtId="0" fontId="3" fillId="2" borderId="28" xfId="0" applyFont="1" applyFill="1" applyBorder="1"/>
    <xf numFmtId="0" fontId="3" fillId="19" borderId="0" xfId="0" applyFont="1" applyFill="1"/>
    <xf numFmtId="0" fontId="18" fillId="19" borderId="2" xfId="0" applyFont="1" applyFill="1" applyBorder="1" applyAlignment="1">
      <alignment horizontal="left" vertical="center"/>
    </xf>
    <xf numFmtId="0" fontId="19" fillId="19" borderId="2" xfId="0" applyFont="1" applyFill="1" applyBorder="1" applyAlignment="1">
      <alignment horizontal="left" vertical="center"/>
    </xf>
    <xf numFmtId="0" fontId="3" fillId="14" borderId="0" xfId="0" applyFont="1" applyFill="1"/>
    <xf numFmtId="0" fontId="18" fillId="14" borderId="2" xfId="0" applyFont="1" applyFill="1" applyBorder="1" applyAlignment="1">
      <alignment horizontal="left" vertical="center"/>
    </xf>
    <xf numFmtId="0" fontId="19" fillId="14" borderId="2" xfId="0" applyFont="1" applyFill="1" applyBorder="1" applyAlignment="1">
      <alignment horizontal="left" vertical="center"/>
    </xf>
    <xf numFmtId="0" fontId="18" fillId="19" borderId="29" xfId="0" applyFont="1" applyFill="1" applyBorder="1" applyAlignment="1">
      <alignment horizontal="left" vertical="center"/>
    </xf>
    <xf numFmtId="0" fontId="19" fillId="19" borderId="31" xfId="0" applyFont="1" applyFill="1" applyBorder="1" applyAlignment="1">
      <alignment horizontal="left" vertical="center"/>
    </xf>
    <xf numFmtId="0" fontId="18" fillId="14" borderId="32" xfId="0" applyFont="1" applyFill="1" applyBorder="1" applyAlignment="1">
      <alignment horizontal="left" vertical="center"/>
    </xf>
    <xf numFmtId="0" fontId="19" fillId="14" borderId="34" xfId="0" applyFont="1" applyFill="1" applyBorder="1" applyAlignment="1">
      <alignment horizontal="left" vertical="center"/>
    </xf>
    <xf numFmtId="0" fontId="18" fillId="19" borderId="32" xfId="0" applyFont="1" applyFill="1" applyBorder="1" applyAlignment="1">
      <alignment horizontal="left" vertical="center"/>
    </xf>
    <xf numFmtId="0" fontId="19" fillId="19" borderId="34" xfId="0" applyFont="1" applyFill="1" applyBorder="1" applyAlignment="1">
      <alignment horizontal="left" vertical="center"/>
    </xf>
    <xf numFmtId="0" fontId="18" fillId="14" borderId="35" xfId="0" applyFont="1" applyFill="1" applyBorder="1" applyAlignment="1">
      <alignment horizontal="left" vertical="center"/>
    </xf>
    <xf numFmtId="0" fontId="19" fillId="14" borderId="37" xfId="0" applyFont="1" applyFill="1" applyBorder="1" applyAlignment="1">
      <alignment horizontal="left" vertical="center"/>
    </xf>
    <xf numFmtId="0" fontId="18" fillId="19" borderId="38" xfId="0" applyFont="1" applyFill="1" applyBorder="1" applyAlignment="1">
      <alignment horizontal="left" vertical="center"/>
    </xf>
    <xf numFmtId="0" fontId="19" fillId="19" borderId="40" xfId="0" applyFont="1" applyFill="1" applyBorder="1" applyAlignment="1">
      <alignment horizontal="left" vertical="center"/>
    </xf>
    <xf numFmtId="0" fontId="18" fillId="14" borderId="41" xfId="0" applyFont="1" applyFill="1" applyBorder="1" applyAlignment="1">
      <alignment horizontal="left" vertical="center"/>
    </xf>
    <xf numFmtId="0" fontId="19" fillId="14" borderId="43" xfId="0" applyFont="1" applyFill="1" applyBorder="1" applyAlignment="1">
      <alignment horizontal="left" vertical="center"/>
    </xf>
    <xf numFmtId="0" fontId="18" fillId="19" borderId="41" xfId="0" applyFont="1" applyFill="1" applyBorder="1" applyAlignment="1">
      <alignment horizontal="left" vertical="center"/>
    </xf>
    <xf numFmtId="0" fontId="19" fillId="19" borderId="43" xfId="0" applyFont="1" applyFill="1" applyBorder="1" applyAlignment="1">
      <alignment horizontal="left" vertical="center"/>
    </xf>
    <xf numFmtId="0" fontId="18" fillId="14" borderId="44" xfId="0" applyFont="1" applyFill="1" applyBorder="1" applyAlignment="1">
      <alignment horizontal="left" vertical="center"/>
    </xf>
    <xf numFmtId="0" fontId="19" fillId="14" borderId="46" xfId="0" applyFont="1" applyFill="1" applyBorder="1" applyAlignment="1">
      <alignment horizontal="left" vertical="center"/>
    </xf>
    <xf numFmtId="0" fontId="9" fillId="13" borderId="48" xfId="0" applyFont="1" applyFill="1" applyBorder="1" applyAlignment="1">
      <alignment horizontal="center" vertical="center" wrapText="1"/>
    </xf>
    <xf numFmtId="0" fontId="9" fillId="13" borderId="49" xfId="0" applyFont="1" applyFill="1" applyBorder="1" applyAlignment="1">
      <alignment horizontal="center" vertical="center" wrapText="1"/>
    </xf>
    <xf numFmtId="0" fontId="9" fillId="13" borderId="50" xfId="0" applyFont="1" applyFill="1" applyBorder="1" applyAlignment="1">
      <alignment horizontal="center" vertical="center" wrapText="1"/>
    </xf>
    <xf numFmtId="0" fontId="5" fillId="10" borderId="20" xfId="0" applyFont="1" applyFill="1" applyBorder="1" applyAlignment="1">
      <alignment horizontal="left" vertical="center"/>
    </xf>
    <xf numFmtId="0" fontId="9" fillId="13" borderId="57" xfId="0" applyFont="1" applyFill="1" applyBorder="1" applyAlignment="1">
      <alignment horizontal="center" vertical="center" wrapText="1"/>
    </xf>
    <xf numFmtId="0" fontId="9" fillId="13" borderId="58" xfId="0" applyFont="1" applyFill="1" applyBorder="1" applyAlignment="1">
      <alignment horizontal="center" vertical="center" wrapText="1"/>
    </xf>
    <xf numFmtId="0" fontId="9" fillId="13" borderId="59" xfId="0" applyFont="1" applyFill="1" applyBorder="1" applyAlignment="1">
      <alignment horizontal="center" vertical="center" wrapText="1"/>
    </xf>
    <xf numFmtId="0" fontId="24" fillId="19" borderId="60" xfId="0" applyFont="1" applyFill="1" applyBorder="1" applyAlignment="1">
      <alignment horizontal="left" vertical="center"/>
    </xf>
    <xf numFmtId="0" fontId="24" fillId="14" borderId="60" xfId="0" applyFont="1" applyFill="1" applyBorder="1" applyAlignment="1">
      <alignment horizontal="left" vertical="center"/>
    </xf>
    <xf numFmtId="0" fontId="21" fillId="21" borderId="62" xfId="0" applyFont="1" applyFill="1" applyBorder="1" applyAlignment="1">
      <alignment horizontal="left" vertical="center"/>
    </xf>
    <xf numFmtId="0" fontId="2" fillId="5" borderId="0" xfId="0" applyFont="1" applyFill="1"/>
    <xf numFmtId="0" fontId="3" fillId="19" borderId="61" xfId="0" applyFont="1" applyFill="1" applyBorder="1" applyAlignment="1">
      <alignment horizontal="center" vertical="center"/>
    </xf>
    <xf numFmtId="0" fontId="3" fillId="14" borderId="61" xfId="0" applyFont="1" applyFill="1" applyBorder="1" applyAlignment="1">
      <alignment horizontal="center" vertical="center"/>
    </xf>
    <xf numFmtId="165" fontId="18" fillId="21" borderId="5" xfId="0" applyNumberFormat="1" applyFont="1" applyFill="1" applyBorder="1" applyAlignment="1">
      <alignment horizontal="center" vertical="center"/>
    </xf>
    <xf numFmtId="0" fontId="18" fillId="19" borderId="53" xfId="0" applyFont="1" applyFill="1" applyBorder="1" applyAlignment="1">
      <alignment horizontal="left" vertical="center"/>
    </xf>
    <xf numFmtId="0" fontId="18" fillId="14" borderId="53" xfId="0" applyFont="1" applyFill="1" applyBorder="1" applyAlignment="1">
      <alignment horizontal="left" vertical="center"/>
    </xf>
    <xf numFmtId="0" fontId="18" fillId="19" borderId="60" xfId="0" applyFont="1" applyFill="1" applyBorder="1" applyAlignment="1">
      <alignment horizontal="left" vertical="center"/>
    </xf>
    <xf numFmtId="1" fontId="2" fillId="19" borderId="42" xfId="0" applyNumberFormat="1" applyFont="1" applyFill="1" applyBorder="1" applyAlignment="1">
      <alignment horizontal="center" vertical="center"/>
    </xf>
    <xf numFmtId="0" fontId="2" fillId="19" borderId="42" xfId="0" applyFont="1" applyFill="1" applyBorder="1" applyAlignment="1">
      <alignment horizontal="center" vertical="center"/>
    </xf>
    <xf numFmtId="0" fontId="2" fillId="19" borderId="61" xfId="0" applyFont="1" applyFill="1" applyBorder="1" applyAlignment="1">
      <alignment horizontal="center" vertical="center"/>
    </xf>
    <xf numFmtId="1" fontId="2" fillId="14" borderId="42" xfId="0" applyNumberFormat="1" applyFont="1" applyFill="1" applyBorder="1" applyAlignment="1">
      <alignment horizontal="center" vertical="center"/>
    </xf>
    <xf numFmtId="0" fontId="3" fillId="14" borderId="42" xfId="0" applyFont="1" applyFill="1" applyBorder="1" applyAlignment="1">
      <alignment horizontal="center" vertical="center"/>
    </xf>
    <xf numFmtId="0" fontId="3" fillId="19" borderId="42" xfId="0" applyFont="1" applyFill="1" applyBorder="1" applyAlignment="1">
      <alignment horizontal="center" vertical="center"/>
    </xf>
    <xf numFmtId="0" fontId="18" fillId="14" borderId="60" xfId="0" applyFont="1" applyFill="1" applyBorder="1" applyAlignment="1">
      <alignment horizontal="left" vertical="center"/>
    </xf>
    <xf numFmtId="0" fontId="2" fillId="14" borderId="42" xfId="0" applyFont="1" applyFill="1" applyBorder="1" applyAlignment="1">
      <alignment horizontal="center" vertical="center"/>
    </xf>
    <xf numFmtId="0" fontId="2" fillId="14" borderId="61" xfId="0" applyFont="1" applyFill="1" applyBorder="1" applyAlignment="1">
      <alignment horizontal="center" vertical="center"/>
    </xf>
    <xf numFmtId="165" fontId="21" fillId="21" borderId="63" xfId="0" applyNumberFormat="1" applyFont="1" applyFill="1" applyBorder="1" applyAlignment="1">
      <alignment horizontal="center" vertical="center"/>
    </xf>
    <xf numFmtId="0" fontId="21" fillId="21" borderId="63" xfId="0" applyFont="1" applyFill="1" applyBorder="1" applyAlignment="1">
      <alignment horizontal="center" vertical="center"/>
    </xf>
    <xf numFmtId="0" fontId="21" fillId="21" borderId="64" xfId="0" applyFont="1" applyFill="1" applyBorder="1" applyAlignment="1">
      <alignment horizontal="center" vertical="center"/>
    </xf>
    <xf numFmtId="9" fontId="2" fillId="19" borderId="61" xfId="0" applyNumberFormat="1" applyFont="1" applyFill="1" applyBorder="1" applyAlignment="1">
      <alignment horizontal="center" vertical="center"/>
    </xf>
    <xf numFmtId="9" fontId="2" fillId="14" borderId="61" xfId="0" applyNumberFormat="1" applyFont="1" applyFill="1" applyBorder="1" applyAlignment="1">
      <alignment horizontal="center" vertical="center"/>
    </xf>
    <xf numFmtId="0" fontId="24" fillId="14" borderId="62" xfId="0" applyFont="1" applyFill="1" applyBorder="1" applyAlignment="1">
      <alignment horizontal="left" vertical="center"/>
    </xf>
    <xf numFmtId="9" fontId="2" fillId="14" borderId="64" xfId="0" applyNumberFormat="1" applyFont="1" applyFill="1" applyBorder="1" applyAlignment="1">
      <alignment horizontal="center" vertical="center"/>
    </xf>
    <xf numFmtId="0" fontId="25" fillId="21" borderId="8" xfId="0" applyFont="1" applyFill="1" applyBorder="1" applyAlignment="1">
      <alignment horizontal="center" vertical="center"/>
    </xf>
    <xf numFmtId="166" fontId="25" fillId="21" borderId="0" xfId="0" applyNumberFormat="1" applyFont="1" applyFill="1" applyAlignment="1">
      <alignment horizontal="center"/>
    </xf>
    <xf numFmtId="0" fontId="3" fillId="19" borderId="39" xfId="0" applyFont="1" applyFill="1" applyBorder="1" applyAlignment="1">
      <alignment horizontal="center" vertical="center"/>
    </xf>
    <xf numFmtId="0" fontId="3" fillId="19" borderId="40" xfId="0" applyFont="1" applyFill="1" applyBorder="1" applyAlignment="1">
      <alignment horizontal="center" vertical="center"/>
    </xf>
    <xf numFmtId="0" fontId="3" fillId="14" borderId="43" xfId="0" applyFont="1" applyFill="1" applyBorder="1" applyAlignment="1">
      <alignment horizontal="center" vertical="center"/>
    </xf>
    <xf numFmtId="0" fontId="3" fillId="19" borderId="43" xfId="0" applyFont="1" applyFill="1" applyBorder="1" applyAlignment="1">
      <alignment horizontal="center" vertical="center"/>
    </xf>
    <xf numFmtId="0" fontId="3" fillId="14" borderId="45" xfId="0" applyFont="1" applyFill="1" applyBorder="1" applyAlignment="1">
      <alignment horizontal="center" vertical="center"/>
    </xf>
    <xf numFmtId="0" fontId="3" fillId="14" borderId="46" xfId="0" applyFont="1" applyFill="1" applyBorder="1" applyAlignment="1">
      <alignment horizontal="center" vertical="center"/>
    </xf>
    <xf numFmtId="165" fontId="2" fillId="19" borderId="5" xfId="0" applyNumberFormat="1" applyFont="1" applyFill="1" applyBorder="1" applyAlignment="1">
      <alignment horizontal="center" vertical="center"/>
    </xf>
    <xf numFmtId="0" fontId="18" fillId="21" borderId="2" xfId="0" applyFont="1" applyFill="1" applyBorder="1" applyAlignment="1">
      <alignment horizontal="left" vertical="center"/>
    </xf>
    <xf numFmtId="0" fontId="26" fillId="21" borderId="2" xfId="0" applyFont="1" applyFill="1" applyBorder="1" applyAlignment="1">
      <alignment horizontal="left" vertical="center"/>
    </xf>
    <xf numFmtId="0" fontId="3" fillId="8" borderId="0" xfId="0" applyFont="1" applyFill="1"/>
    <xf numFmtId="0" fontId="18" fillId="19" borderId="35" xfId="0" applyFont="1" applyFill="1" applyBorder="1" applyAlignment="1">
      <alignment horizontal="left" vertical="center"/>
    </xf>
    <xf numFmtId="0" fontId="19" fillId="19" borderId="37" xfId="0" applyFont="1" applyFill="1" applyBorder="1" applyAlignment="1">
      <alignment horizontal="left" vertical="center"/>
    </xf>
    <xf numFmtId="0" fontId="18" fillId="19" borderId="51" xfId="0" applyFont="1" applyFill="1" applyBorder="1" applyAlignment="1">
      <alignment horizontal="left" vertical="center"/>
    </xf>
    <xf numFmtId="0" fontId="25" fillId="21" borderId="55" xfId="0" applyFont="1" applyFill="1" applyBorder="1" applyAlignment="1">
      <alignment horizontal="left" vertical="center"/>
    </xf>
    <xf numFmtId="164" fontId="2" fillId="9" borderId="0" xfId="0" applyNumberFormat="1" applyFont="1" applyFill="1"/>
    <xf numFmtId="0" fontId="1" fillId="2" borderId="28" xfId="0" applyFont="1" applyFill="1" applyBorder="1"/>
    <xf numFmtId="3" fontId="3" fillId="19" borderId="42" xfId="0" applyNumberFormat="1" applyFont="1" applyFill="1" applyBorder="1" applyAlignment="1">
      <alignment horizontal="center" vertical="center"/>
    </xf>
    <xf numFmtId="164" fontId="3" fillId="19" borderId="42" xfId="0" applyNumberFormat="1" applyFont="1" applyFill="1" applyBorder="1" applyAlignment="1">
      <alignment horizontal="center" vertical="center"/>
    </xf>
    <xf numFmtId="164" fontId="2" fillId="19" borderId="61" xfId="0" applyNumberFormat="1" applyFont="1" applyFill="1" applyBorder="1" applyAlignment="1">
      <alignment horizontal="center" vertical="center"/>
    </xf>
    <xf numFmtId="3" fontId="3" fillId="14" borderId="42" xfId="0" applyNumberFormat="1" applyFont="1" applyFill="1" applyBorder="1" applyAlignment="1">
      <alignment horizontal="center" vertical="center"/>
    </xf>
    <xf numFmtId="164" fontId="3" fillId="14" borderId="42" xfId="0" applyNumberFormat="1" applyFont="1" applyFill="1" applyBorder="1" applyAlignment="1">
      <alignment horizontal="center" vertical="center"/>
    </xf>
    <xf numFmtId="164" fontId="2" fillId="14" borderId="61" xfId="0" applyNumberFormat="1" applyFont="1" applyFill="1" applyBorder="1" applyAlignment="1">
      <alignment horizontal="center" vertical="center"/>
    </xf>
    <xf numFmtId="3" fontId="21" fillId="21" borderId="63" xfId="0" applyNumberFormat="1" applyFont="1" applyFill="1" applyBorder="1" applyAlignment="1">
      <alignment horizontal="center" vertical="center"/>
    </xf>
    <xf numFmtId="164" fontId="21" fillId="21" borderId="64" xfId="0" applyNumberFormat="1" applyFont="1" applyFill="1" applyBorder="1" applyAlignment="1">
      <alignment horizontal="center" vertical="center"/>
    </xf>
    <xf numFmtId="164" fontId="2" fillId="19" borderId="42" xfId="0" applyNumberFormat="1" applyFont="1" applyFill="1" applyBorder="1" applyAlignment="1">
      <alignment horizontal="center" vertical="center"/>
    </xf>
    <xf numFmtId="164" fontId="3" fillId="19" borderId="61" xfId="0" applyNumberFormat="1" applyFont="1" applyFill="1" applyBorder="1" applyAlignment="1">
      <alignment horizontal="center" vertical="center"/>
    </xf>
    <xf numFmtId="164" fontId="2" fillId="14" borderId="42" xfId="0" applyNumberFormat="1" applyFont="1" applyFill="1" applyBorder="1" applyAlignment="1">
      <alignment horizontal="center" vertical="center"/>
    </xf>
    <xf numFmtId="164" fontId="3" fillId="14" borderId="61" xfId="0" applyNumberFormat="1" applyFont="1" applyFill="1" applyBorder="1" applyAlignment="1">
      <alignment horizontal="center" vertical="center"/>
    </xf>
    <xf numFmtId="0" fontId="18" fillId="19" borderId="60" xfId="0" applyFont="1" applyFill="1" applyBorder="1" applyAlignment="1">
      <alignment horizontal="center" vertical="center"/>
    </xf>
    <xf numFmtId="1" fontId="3" fillId="19" borderId="42" xfId="0" applyNumberFormat="1" applyFont="1" applyFill="1" applyBorder="1" applyAlignment="1">
      <alignment horizontal="center" vertical="center"/>
    </xf>
    <xf numFmtId="9" fontId="3" fillId="19" borderId="42" xfId="0" applyNumberFormat="1" applyFont="1" applyFill="1" applyBorder="1" applyAlignment="1">
      <alignment horizontal="center" vertical="center"/>
    </xf>
    <xf numFmtId="0" fontId="18" fillId="14" borderId="60" xfId="0" applyFont="1" applyFill="1" applyBorder="1" applyAlignment="1">
      <alignment horizontal="center" vertical="center"/>
    </xf>
    <xf numFmtId="1" fontId="3" fillId="14" borderId="42" xfId="0" applyNumberFormat="1" applyFont="1" applyFill="1" applyBorder="1" applyAlignment="1">
      <alignment horizontal="center" vertical="center"/>
    </xf>
    <xf numFmtId="9" fontId="3" fillId="14" borderId="42" xfId="0" applyNumberFormat="1" applyFont="1" applyFill="1" applyBorder="1" applyAlignment="1">
      <alignment horizontal="center" vertical="center"/>
    </xf>
    <xf numFmtId="0" fontId="21" fillId="21" borderId="62" xfId="0" applyFont="1" applyFill="1" applyBorder="1" applyAlignment="1">
      <alignment horizontal="center" vertical="center"/>
    </xf>
    <xf numFmtId="9" fontId="21" fillId="21" borderId="63" xfId="0" applyNumberFormat="1" applyFont="1" applyFill="1" applyBorder="1" applyAlignment="1">
      <alignment horizontal="center" vertical="center"/>
    </xf>
    <xf numFmtId="0" fontId="17" fillId="11" borderId="0" xfId="0" applyFont="1" applyFill="1"/>
    <xf numFmtId="0" fontId="17" fillId="0" borderId="0" xfId="0" applyFont="1"/>
    <xf numFmtId="0" fontId="17" fillId="12" borderId="0" xfId="0" applyFont="1" applyFill="1"/>
    <xf numFmtId="0" fontId="17" fillId="11" borderId="69" xfId="0" applyFont="1" applyFill="1" applyBorder="1"/>
    <xf numFmtId="0" fontId="17" fillId="11" borderId="70" xfId="0" applyFont="1" applyFill="1" applyBorder="1"/>
    <xf numFmtId="0" fontId="17" fillId="11" borderId="28" xfId="0" applyFont="1" applyFill="1" applyBorder="1"/>
    <xf numFmtId="0" fontId="17" fillId="0" borderId="28" xfId="0" applyFont="1" applyBorder="1"/>
    <xf numFmtId="0" fontId="20" fillId="24" borderId="16" xfId="0" applyFont="1" applyFill="1" applyBorder="1" applyAlignment="1">
      <alignment horizontal="left" vertical="center" wrapText="1" indent="1"/>
    </xf>
    <xf numFmtId="0" fontId="20" fillId="24" borderId="15" xfId="0" applyFont="1" applyFill="1" applyBorder="1" applyAlignment="1">
      <alignment horizontal="center" vertical="center" wrapText="1"/>
    </xf>
    <xf numFmtId="0" fontId="17" fillId="24" borderId="0" xfId="0" applyFont="1" applyFill="1" applyAlignment="1">
      <alignment wrapText="1"/>
    </xf>
    <xf numFmtId="0" fontId="20" fillId="24" borderId="17" xfId="0" applyFont="1" applyFill="1" applyBorder="1" applyAlignment="1">
      <alignment horizontal="left" vertical="center" wrapText="1" indent="1"/>
    </xf>
    <xf numFmtId="0" fontId="20" fillId="24" borderId="14" xfId="0" applyFont="1" applyFill="1" applyBorder="1" applyAlignment="1">
      <alignment horizontal="center" vertical="center" wrapText="1"/>
    </xf>
    <xf numFmtId="0" fontId="20" fillId="24" borderId="18" xfId="0" applyFont="1" applyFill="1" applyBorder="1" applyAlignment="1">
      <alignment horizontal="left" vertical="center" wrapText="1" indent="1"/>
    </xf>
    <xf numFmtId="0" fontId="20" fillId="24" borderId="13" xfId="0" applyFont="1" applyFill="1" applyBorder="1" applyAlignment="1">
      <alignment horizontal="center" vertical="center" wrapText="1"/>
    </xf>
    <xf numFmtId="0" fontId="20" fillId="24" borderId="0" xfId="0" applyFont="1" applyFill="1" applyAlignment="1">
      <alignment wrapText="1"/>
    </xf>
    <xf numFmtId="0" fontId="17" fillId="24" borderId="0" xfId="0" applyFont="1" applyFill="1"/>
    <xf numFmtId="0" fontId="20" fillId="24" borderId="0" xfId="0" applyFont="1" applyFill="1"/>
    <xf numFmtId="0" fontId="3" fillId="17" borderId="0" xfId="0" applyFont="1" applyFill="1"/>
    <xf numFmtId="0" fontId="3" fillId="17" borderId="0" xfId="0" applyFont="1" applyFill="1" applyAlignment="1">
      <alignment vertical="center"/>
    </xf>
    <xf numFmtId="0" fontId="3" fillId="17" borderId="28" xfId="0" applyFont="1" applyFill="1" applyBorder="1" applyAlignment="1">
      <alignment vertical="center"/>
    </xf>
    <xf numFmtId="0" fontId="3" fillId="24" borderId="0" xfId="0" applyFont="1" applyFill="1"/>
    <xf numFmtId="0" fontId="4" fillId="10" borderId="20" xfId="0" applyFont="1" applyFill="1" applyBorder="1" applyAlignment="1">
      <alignment horizontal="left" vertical="center"/>
    </xf>
    <xf numFmtId="9" fontId="4" fillId="10" borderId="20" xfId="0" applyNumberFormat="1" applyFont="1" applyFill="1" applyBorder="1" applyAlignment="1">
      <alignment horizontal="left" vertical="center"/>
    </xf>
    <xf numFmtId="6" fontId="4" fillId="10" borderId="20" xfId="0" applyNumberFormat="1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22" fillId="18" borderId="0" xfId="0" applyFont="1" applyFill="1" applyAlignment="1">
      <alignment horizontal="center" vertical="center"/>
    </xf>
    <xf numFmtId="0" fontId="26" fillId="20" borderId="0" xfId="0" applyFont="1" applyFill="1" applyAlignment="1">
      <alignment horizontal="center" vertical="center"/>
    </xf>
    <xf numFmtId="0" fontId="31" fillId="20" borderId="0" xfId="0" applyFont="1" applyFill="1" applyAlignment="1">
      <alignment horizontal="center" vertical="center"/>
    </xf>
    <xf numFmtId="0" fontId="5" fillId="7" borderId="20" xfId="0" applyFont="1" applyFill="1" applyBorder="1" applyAlignment="1">
      <alignment horizontal="left" vertical="center"/>
    </xf>
    <xf numFmtId="0" fontId="33" fillId="18" borderId="27" xfId="0" applyFont="1" applyFill="1" applyBorder="1" applyAlignment="1">
      <alignment horizontal="left" vertical="center"/>
    </xf>
    <xf numFmtId="0" fontId="33" fillId="18" borderId="0" xfId="0" applyFont="1" applyFill="1" applyAlignment="1">
      <alignment horizontal="left"/>
    </xf>
    <xf numFmtId="0" fontId="8" fillId="18" borderId="27" xfId="0" applyFont="1" applyFill="1" applyBorder="1" applyAlignment="1">
      <alignment horizontal="center" vertical="center"/>
    </xf>
    <xf numFmtId="0" fontId="8" fillId="18" borderId="0" xfId="0" applyFont="1" applyFill="1" applyAlignment="1">
      <alignment horizontal="center"/>
    </xf>
    <xf numFmtId="0" fontId="5" fillId="8" borderId="24" xfId="0" applyFont="1" applyFill="1" applyBorder="1" applyAlignment="1">
      <alignment horizontal="left" vertical="center"/>
    </xf>
    <xf numFmtId="0" fontId="5" fillId="8" borderId="25" xfId="0" applyFont="1" applyFill="1" applyBorder="1" applyAlignment="1">
      <alignment horizontal="left" vertical="center"/>
    </xf>
    <xf numFmtId="0" fontId="5" fillId="8" borderId="26" xfId="0" applyFont="1" applyFill="1" applyBorder="1" applyAlignment="1">
      <alignment horizontal="left" vertical="center"/>
    </xf>
    <xf numFmtId="0" fontId="12" fillId="13" borderId="27" xfId="0" applyFont="1" applyFill="1" applyBorder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8" fillId="18" borderId="47" xfId="0" applyFont="1" applyFill="1" applyBorder="1" applyAlignment="1">
      <alignment horizontal="center" vertical="center"/>
    </xf>
    <xf numFmtId="0" fontId="5" fillId="10" borderId="20" xfId="0" applyFont="1" applyFill="1" applyBorder="1" applyAlignment="1">
      <alignment horizontal="left" vertical="center"/>
    </xf>
    <xf numFmtId="0" fontId="5" fillId="10" borderId="20" xfId="0" applyFont="1" applyFill="1" applyBorder="1"/>
    <xf numFmtId="0" fontId="21" fillId="20" borderId="21" xfId="0" applyFont="1" applyFill="1" applyBorder="1" applyAlignment="1">
      <alignment horizontal="center" vertical="center"/>
    </xf>
    <xf numFmtId="0" fontId="21" fillId="20" borderId="22" xfId="0" applyFont="1" applyFill="1" applyBorder="1" applyAlignment="1">
      <alignment horizontal="center" vertical="center"/>
    </xf>
    <xf numFmtId="0" fontId="21" fillId="20" borderId="23" xfId="0" applyFont="1" applyFill="1" applyBorder="1" applyAlignment="1">
      <alignment horizontal="center" vertical="center"/>
    </xf>
    <xf numFmtId="0" fontId="23" fillId="18" borderId="0" xfId="0" applyFont="1" applyFill="1" applyAlignment="1">
      <alignment horizontal="center" vertical="center"/>
    </xf>
    <xf numFmtId="0" fontId="23" fillId="18" borderId="0" xfId="0" applyFont="1" applyFill="1" applyAlignment="1">
      <alignment horizontal="center"/>
    </xf>
    <xf numFmtId="0" fontId="8" fillId="18" borderId="0" xfId="0" applyFont="1" applyFill="1" applyAlignment="1">
      <alignment horizontal="left"/>
    </xf>
    <xf numFmtId="0" fontId="8" fillId="18" borderId="65" xfId="0" applyFont="1" applyFill="1" applyBorder="1" applyAlignment="1">
      <alignment horizontal="left" vertical="center"/>
    </xf>
    <xf numFmtId="0" fontId="12" fillId="13" borderId="6" xfId="0" applyFont="1" applyFill="1" applyBorder="1" applyAlignment="1">
      <alignment horizontal="center" vertical="center"/>
    </xf>
    <xf numFmtId="0" fontId="12" fillId="13" borderId="7" xfId="0" applyFont="1" applyFill="1" applyBorder="1" applyAlignment="1">
      <alignment horizontal="center" vertical="center"/>
    </xf>
    <xf numFmtId="0" fontId="8" fillId="18" borderId="66" xfId="0" applyFont="1" applyFill="1" applyBorder="1" applyAlignment="1">
      <alignment horizontal="left" vertical="center"/>
    </xf>
    <xf numFmtId="0" fontId="25" fillId="21" borderId="2" xfId="0" applyFont="1" applyFill="1" applyBorder="1" applyAlignment="1">
      <alignment horizontal="left" vertical="center"/>
    </xf>
    <xf numFmtId="166" fontId="25" fillId="21" borderId="0" xfId="0" applyNumberFormat="1" applyFont="1" applyFill="1" applyAlignment="1">
      <alignment horizontal="center"/>
    </xf>
    <xf numFmtId="0" fontId="8" fillId="18" borderId="67" xfId="0" applyFont="1" applyFill="1" applyBorder="1" applyAlignment="1">
      <alignment horizontal="left" vertical="center"/>
    </xf>
    <xf numFmtId="166" fontId="8" fillId="18" borderId="0" xfId="0" applyNumberFormat="1" applyFont="1" applyFill="1" applyAlignment="1">
      <alignment horizontal="left"/>
    </xf>
    <xf numFmtId="0" fontId="12" fillId="13" borderId="9" xfId="0" applyFont="1" applyFill="1" applyBorder="1" applyAlignment="1">
      <alignment horizontal="center" vertical="center"/>
    </xf>
    <xf numFmtId="0" fontId="8" fillId="18" borderId="9" xfId="0" applyFont="1" applyFill="1" applyBorder="1" applyAlignment="1">
      <alignment horizontal="left" vertical="center"/>
    </xf>
    <xf numFmtId="0" fontId="8" fillId="18" borderId="68" xfId="0" applyFont="1" applyFill="1" applyBorder="1" applyAlignment="1">
      <alignment horizontal="left" vertical="center"/>
    </xf>
    <xf numFmtId="0" fontId="12" fillId="13" borderId="4" xfId="0" applyFont="1" applyFill="1" applyBorder="1" applyAlignment="1">
      <alignment horizontal="center" vertical="center"/>
    </xf>
    <xf numFmtId="0" fontId="8" fillId="18" borderId="47" xfId="0" applyFont="1" applyFill="1" applyBorder="1" applyAlignment="1">
      <alignment horizontal="left" vertical="center"/>
    </xf>
    <xf numFmtId="164" fontId="14" fillId="22" borderId="3" xfId="0" applyNumberFormat="1" applyFont="1" applyFill="1" applyBorder="1" applyAlignment="1">
      <alignment horizontal="center" vertical="center"/>
    </xf>
    <xf numFmtId="0" fontId="14" fillId="22" borderId="0" xfId="0" applyFont="1" applyFill="1" applyAlignment="1">
      <alignment horizontal="center"/>
    </xf>
    <xf numFmtId="0" fontId="15" fillId="22" borderId="0" xfId="0" applyFont="1" applyFill="1" applyAlignment="1">
      <alignment horizontal="center"/>
    </xf>
    <xf numFmtId="164" fontId="29" fillId="23" borderId="2" xfId="0" applyNumberFormat="1" applyFont="1" applyFill="1" applyBorder="1" applyAlignment="1">
      <alignment horizontal="center" vertical="center"/>
    </xf>
    <xf numFmtId="0" fontId="29" fillId="23" borderId="0" xfId="0" applyFont="1" applyFill="1" applyAlignment="1">
      <alignment horizontal="center"/>
    </xf>
    <xf numFmtId="0" fontId="30" fillId="23" borderId="0" xfId="0" applyFont="1" applyFill="1" applyAlignment="1">
      <alignment horizontal="center"/>
    </xf>
    <xf numFmtId="0" fontId="13" fillId="13" borderId="0" xfId="0" applyFont="1" applyFill="1" applyAlignment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0" fontId="3" fillId="0" borderId="0" xfId="0" applyFont="1"/>
    <xf numFmtId="0" fontId="27" fillId="18" borderId="0" xfId="0" applyFont="1" applyFill="1" applyAlignment="1">
      <alignment horizontal="center"/>
    </xf>
    <xf numFmtId="0" fontId="16" fillId="18" borderId="0" xfId="0" applyFont="1" applyFill="1" applyAlignment="1">
      <alignment horizontal="left"/>
    </xf>
    <xf numFmtId="0" fontId="21" fillId="21" borderId="62" xfId="0" applyFont="1" applyFill="1" applyBorder="1" applyAlignment="1">
      <alignment horizontal="left" vertical="center"/>
    </xf>
    <xf numFmtId="0" fontId="21" fillId="21" borderId="63" xfId="0" applyFont="1" applyFill="1" applyBorder="1" applyAlignment="1">
      <alignment horizontal="center"/>
    </xf>
    <xf numFmtId="164" fontId="21" fillId="21" borderId="63" xfId="0" applyNumberFormat="1" applyFont="1" applyFill="1" applyBorder="1" applyAlignment="1">
      <alignment horizontal="center"/>
    </xf>
    <xf numFmtId="0" fontId="28" fillId="23" borderId="2" xfId="0" applyFont="1" applyFill="1" applyBorder="1" applyAlignment="1">
      <alignment horizontal="left" vertical="center"/>
    </xf>
    <xf numFmtId="0" fontId="28" fillId="23" borderId="0" xfId="0" applyFont="1" applyFill="1"/>
    <xf numFmtId="164" fontId="2" fillId="3" borderId="3" xfId="0" applyNumberFormat="1" applyFont="1" applyFill="1" applyBorder="1" applyAlignment="1">
      <alignment horizontal="center" vertical="center"/>
    </xf>
    <xf numFmtId="0" fontId="1" fillId="0" borderId="0" xfId="0" applyFont="1"/>
    <xf numFmtId="0" fontId="8" fillId="13" borderId="4" xfId="0" applyFont="1" applyFill="1" applyBorder="1" applyAlignment="1">
      <alignment horizontal="left" vertical="center"/>
    </xf>
    <xf numFmtId="0" fontId="8" fillId="13" borderId="0" xfId="0" applyFont="1" applyFill="1"/>
    <xf numFmtId="0" fontId="17" fillId="24" borderId="19" xfId="0" applyFont="1" applyFill="1" applyBorder="1" applyAlignment="1">
      <alignment horizontal="left" vertical="center" wrapText="1" indent="1"/>
    </xf>
    <xf numFmtId="0" fontId="17" fillId="24" borderId="12" xfId="0" applyFont="1" applyFill="1" applyBorder="1" applyAlignment="1">
      <alignment horizontal="left" vertical="center" wrapText="1"/>
    </xf>
    <xf numFmtId="0" fontId="17" fillId="24" borderId="17" xfId="0" applyFont="1" applyFill="1" applyBorder="1" applyAlignment="1">
      <alignment horizontal="left" vertical="center" wrapText="1" indent="1"/>
    </xf>
    <xf numFmtId="0" fontId="17" fillId="24" borderId="14" xfId="0" applyFont="1" applyFill="1" applyBorder="1" applyAlignment="1">
      <alignment horizontal="left" vertical="center" wrapText="1"/>
    </xf>
    <xf numFmtId="0" fontId="6" fillId="13" borderId="10" xfId="0" applyFont="1" applyFill="1" applyBorder="1" applyAlignment="1">
      <alignment horizontal="center" vertical="center"/>
    </xf>
    <xf numFmtId="0" fontId="6" fillId="13" borderId="11" xfId="0" applyFont="1" applyFill="1" applyBorder="1" applyAlignment="1">
      <alignment horizontal="center" vertical="center"/>
    </xf>
    <xf numFmtId="14" fontId="5" fillId="10" borderId="20" xfId="0" applyNumberFormat="1" applyFont="1" applyFill="1" applyBorder="1" applyAlignment="1">
      <alignment horizontal="left" vertical="center"/>
    </xf>
    <xf numFmtId="0" fontId="34" fillId="19" borderId="73" xfId="0" applyFont="1" applyFill="1" applyBorder="1" applyAlignment="1">
      <alignment horizontal="center" vertical="center"/>
    </xf>
    <xf numFmtId="1" fontId="35" fillId="19" borderId="74" xfId="0" applyNumberFormat="1" applyFont="1" applyFill="1" applyBorder="1" applyAlignment="1">
      <alignment horizontal="center" vertical="center"/>
    </xf>
    <xf numFmtId="3" fontId="35" fillId="19" borderId="74" xfId="0" applyNumberFormat="1" applyFont="1" applyFill="1" applyBorder="1" applyAlignment="1">
      <alignment horizontal="center" vertical="center"/>
    </xf>
    <xf numFmtId="9" fontId="35" fillId="19" borderId="74" xfId="0" applyNumberFormat="1" applyFont="1" applyFill="1" applyBorder="1" applyAlignment="1">
      <alignment horizontal="center" vertical="center"/>
    </xf>
    <xf numFmtId="0" fontId="1" fillId="14" borderId="0" xfId="0" applyFont="1" applyFill="1"/>
    <xf numFmtId="0" fontId="9" fillId="18" borderId="58" xfId="0" applyFont="1" applyFill="1" applyBorder="1" applyAlignment="1">
      <alignment horizontal="center" vertical="center" wrapText="1"/>
    </xf>
    <xf numFmtId="0" fontId="1" fillId="19" borderId="0" xfId="0" applyFont="1" applyFill="1"/>
    <xf numFmtId="0" fontId="8" fillId="13" borderId="80" xfId="0" applyFont="1" applyFill="1" applyBorder="1" applyAlignment="1">
      <alignment horizontal="left" vertical="center"/>
    </xf>
    <xf numFmtId="0" fontId="8" fillId="13" borderId="77" xfId="0" applyFont="1" applyFill="1" applyBorder="1" applyAlignment="1">
      <alignment horizontal="left"/>
    </xf>
    <xf numFmtId="0" fontId="8" fillId="13" borderId="81" xfId="0" applyFont="1" applyFill="1" applyBorder="1" applyAlignment="1">
      <alignment horizontal="left"/>
    </xf>
    <xf numFmtId="0" fontId="0" fillId="0" borderId="0" xfId="0"/>
    <xf numFmtId="0" fontId="37" fillId="13" borderId="0" xfId="0" applyFont="1" applyFill="1"/>
    <xf numFmtId="0" fontId="16" fillId="13" borderId="0" xfId="0" applyFont="1" applyFill="1"/>
    <xf numFmtId="0" fontId="0" fillId="21" borderId="0" xfId="0" applyFill="1"/>
    <xf numFmtId="0" fontId="0" fillId="19" borderId="0" xfId="0" applyFill="1"/>
    <xf numFmtId="0" fontId="0" fillId="14" borderId="0" xfId="0" applyFill="1"/>
    <xf numFmtId="0" fontId="37" fillId="18" borderId="20" xfId="0" applyFont="1" applyFill="1" applyBorder="1" applyAlignment="1">
      <alignment horizontal="center"/>
    </xf>
    <xf numFmtId="0" fontId="0" fillId="19" borderId="20" xfId="0" applyFill="1" applyBorder="1"/>
    <xf numFmtId="0" fontId="0" fillId="14" borderId="20" xfId="0" applyFill="1" applyBorder="1"/>
    <xf numFmtId="0" fontId="38" fillId="21" borderId="20" xfId="0" applyFont="1" applyFill="1" applyBorder="1"/>
    <xf numFmtId="1" fontId="0" fillId="19" borderId="20" xfId="0" applyNumberFormat="1" applyFill="1" applyBorder="1"/>
    <xf numFmtId="1" fontId="0" fillId="14" borderId="20" xfId="0" applyNumberFormat="1" applyFill="1" applyBorder="1"/>
    <xf numFmtId="1" fontId="38" fillId="21" borderId="20" xfId="0" applyNumberFormat="1" applyFont="1" applyFill="1" applyBorder="1"/>
    <xf numFmtId="165" fontId="0" fillId="19" borderId="20" xfId="0" applyNumberFormat="1" applyFill="1" applyBorder="1"/>
    <xf numFmtId="165" fontId="0" fillId="14" borderId="20" xfId="0" applyNumberFormat="1" applyFill="1" applyBorder="1"/>
    <xf numFmtId="165" fontId="38" fillId="21" borderId="20" xfId="0" applyNumberFormat="1" applyFont="1" applyFill="1" applyBorder="1"/>
    <xf numFmtId="0" fontId="37" fillId="18" borderId="20" xfId="0" applyFont="1" applyFill="1" applyBorder="1" applyAlignment="1">
      <alignment horizontal="left"/>
    </xf>
    <xf numFmtId="1" fontId="38" fillId="21" borderId="20" xfId="0" applyNumberFormat="1" applyFont="1" applyFill="1" applyBorder="1" applyAlignment="1">
      <alignment horizontal="center"/>
    </xf>
    <xf numFmtId="0" fontId="16" fillId="13" borderId="0" xfId="0" applyFont="1" applyFill="1" applyAlignment="1">
      <alignment horizontal="left"/>
    </xf>
    <xf numFmtId="0" fontId="0" fillId="0" borderId="0" xfId="0" applyBorder="1"/>
    <xf numFmtId="0" fontId="37" fillId="22" borderId="83" xfId="0" applyFont="1" applyFill="1" applyBorder="1"/>
    <xf numFmtId="0" fontId="0" fillId="0" borderId="84" xfId="0" applyBorder="1"/>
    <xf numFmtId="0" fontId="0" fillId="0" borderId="85" xfId="0" applyBorder="1"/>
    <xf numFmtId="0" fontId="40" fillId="15" borderId="86" xfId="0" applyFont="1" applyFill="1" applyBorder="1"/>
    <xf numFmtId="0" fontId="38" fillId="15" borderId="87" xfId="0" applyFont="1" applyFill="1" applyBorder="1"/>
    <xf numFmtId="0" fontId="40" fillId="15" borderId="87" xfId="0" applyFont="1" applyFill="1" applyBorder="1"/>
    <xf numFmtId="1" fontId="38" fillId="15" borderId="87" xfId="0" applyNumberFormat="1" applyFont="1" applyFill="1" applyBorder="1"/>
    <xf numFmtId="1" fontId="38" fillId="15" borderId="88" xfId="0" applyNumberFormat="1" applyFont="1" applyFill="1" applyBorder="1"/>
    <xf numFmtId="0" fontId="0" fillId="0" borderId="0" xfId="0" applyAlignment="1">
      <alignment horizontal="center"/>
    </xf>
    <xf numFmtId="0" fontId="42" fillId="14" borderId="20" xfId="0" applyFont="1" applyFill="1" applyBorder="1" applyAlignment="1">
      <alignment horizontal="left"/>
    </xf>
    <xf numFmtId="1" fontId="40" fillId="14" borderId="20" xfId="0" applyNumberFormat="1" applyFont="1" applyFill="1" applyBorder="1" applyAlignment="1">
      <alignment horizontal="center"/>
    </xf>
    <xf numFmtId="0" fontId="40" fillId="14" borderId="20" xfId="0" applyFont="1" applyFill="1" applyBorder="1" applyAlignment="1">
      <alignment horizontal="center"/>
    </xf>
    <xf numFmtId="165" fontId="40" fillId="14" borderId="20" xfId="0" applyNumberFormat="1" applyFont="1" applyFill="1" applyBorder="1" applyAlignment="1">
      <alignment horizontal="center"/>
    </xf>
    <xf numFmtId="0" fontId="42" fillId="19" borderId="20" xfId="0" applyFont="1" applyFill="1" applyBorder="1" applyAlignment="1">
      <alignment horizontal="left"/>
    </xf>
    <xf numFmtId="1" fontId="40" fillId="19" borderId="20" xfId="0" applyNumberFormat="1" applyFont="1" applyFill="1" applyBorder="1" applyAlignment="1">
      <alignment horizontal="center"/>
    </xf>
    <xf numFmtId="0" fontId="40" fillId="19" borderId="20" xfId="0" applyFont="1" applyFill="1" applyBorder="1" applyAlignment="1">
      <alignment horizontal="center"/>
    </xf>
    <xf numFmtId="165" fontId="40" fillId="19" borderId="20" xfId="0" applyNumberFormat="1" applyFont="1" applyFill="1" applyBorder="1" applyAlignment="1">
      <alignment horizontal="center"/>
    </xf>
    <xf numFmtId="0" fontId="38" fillId="21" borderId="20" xfId="0" applyFont="1" applyFill="1" applyBorder="1" applyAlignment="1">
      <alignment horizontal="left"/>
    </xf>
    <xf numFmtId="0" fontId="38" fillId="21" borderId="20" xfId="0" applyFont="1" applyFill="1" applyBorder="1" applyAlignment="1">
      <alignment horizontal="center"/>
    </xf>
    <xf numFmtId="165" fontId="38" fillId="21" borderId="20" xfId="0" applyNumberFormat="1" applyFont="1" applyFill="1" applyBorder="1" applyAlignment="1">
      <alignment horizontal="center"/>
    </xf>
    <xf numFmtId="0" fontId="38" fillId="14" borderId="20" xfId="0" applyFont="1" applyFill="1" applyBorder="1" applyAlignment="1">
      <alignment horizontal="left"/>
    </xf>
    <xf numFmtId="0" fontId="38" fillId="19" borderId="20" xfId="0" applyFont="1" applyFill="1" applyBorder="1" applyAlignment="1">
      <alignment horizontal="left"/>
    </xf>
    <xf numFmtId="0" fontId="38" fillId="14" borderId="20" xfId="0" applyFont="1" applyFill="1" applyBorder="1" applyAlignment="1">
      <alignment horizontal="left"/>
    </xf>
    <xf numFmtId="0" fontId="1" fillId="2" borderId="0" xfId="0" applyFont="1" applyFill="1"/>
    <xf numFmtId="0" fontId="43" fillId="18" borderId="0" xfId="0" applyFont="1" applyFill="1"/>
    <xf numFmtId="9" fontId="1" fillId="2" borderId="0" xfId="0" applyNumberFormat="1" applyFont="1" applyFill="1"/>
    <xf numFmtId="0" fontId="38" fillId="21" borderId="0" xfId="0" applyFont="1" applyFill="1"/>
    <xf numFmtId="0" fontId="10" fillId="15" borderId="0" xfId="0" applyFont="1" applyFill="1"/>
    <xf numFmtId="0" fontId="10" fillId="15" borderId="0" xfId="0" applyFont="1" applyFill="1" applyAlignment="1">
      <alignment horizontal="center"/>
    </xf>
    <xf numFmtId="0" fontId="10" fillId="29" borderId="20" xfId="0" applyFont="1" applyFill="1" applyBorder="1"/>
    <xf numFmtId="0" fontId="0" fillId="0" borderId="20" xfId="0" applyBorder="1"/>
    <xf numFmtId="0" fontId="1" fillId="2" borderId="20" xfId="0" applyFont="1" applyFill="1" applyBorder="1"/>
    <xf numFmtId="0" fontId="36" fillId="23" borderId="20" xfId="0" applyFont="1" applyFill="1" applyBorder="1"/>
    <xf numFmtId="0" fontId="1" fillId="2" borderId="20" xfId="0" applyFont="1" applyFill="1" applyBorder="1"/>
    <xf numFmtId="0" fontId="1" fillId="14" borderId="20" xfId="0" applyFont="1" applyFill="1" applyBorder="1"/>
    <xf numFmtId="0" fontId="1" fillId="19" borderId="20" xfId="0" applyFont="1" applyFill="1" applyBorder="1"/>
    <xf numFmtId="0" fontId="36" fillId="30" borderId="20" xfId="0" applyFont="1" applyFill="1" applyBorder="1"/>
    <xf numFmtId="0" fontId="36" fillId="15" borderId="20" xfId="0" applyFont="1" applyFill="1" applyBorder="1"/>
    <xf numFmtId="0" fontId="36" fillId="16" borderId="20" xfId="0" applyFont="1" applyFill="1" applyBorder="1"/>
    <xf numFmtId="0" fontId="36" fillId="29" borderId="20" xfId="0" applyFont="1" applyFill="1" applyBorder="1"/>
    <xf numFmtId="0" fontId="36" fillId="31" borderId="20" xfId="0" applyFont="1" applyFill="1" applyBorder="1"/>
    <xf numFmtId="0" fontId="38" fillId="21" borderId="20" xfId="0" applyFont="1" applyFill="1" applyBorder="1"/>
    <xf numFmtId="0" fontId="0" fillId="0" borderId="20" xfId="0" applyBorder="1"/>
    <xf numFmtId="0" fontId="10" fillId="0" borderId="20" xfId="0" applyFont="1" applyBorder="1"/>
    <xf numFmtId="0" fontId="10" fillId="15" borderId="20" xfId="0" applyFont="1" applyFill="1" applyBorder="1"/>
    <xf numFmtId="0" fontId="1" fillId="12" borderId="20" xfId="0" applyFont="1" applyFill="1" applyBorder="1"/>
    <xf numFmtId="0" fontId="44" fillId="0" borderId="0" xfId="0" applyFont="1"/>
    <xf numFmtId="0" fontId="45" fillId="0" borderId="0" xfId="0" applyFont="1"/>
    <xf numFmtId="0" fontId="37" fillId="18" borderId="0" xfId="0" applyFont="1" applyFill="1"/>
    <xf numFmtId="0" fontId="10" fillId="19" borderId="0" xfId="0" applyFont="1" applyFill="1" applyAlignment="1">
      <alignment horizontal="center"/>
    </xf>
    <xf numFmtId="0" fontId="10" fillId="15" borderId="0" xfId="0" applyFont="1" applyFill="1" applyAlignment="1">
      <alignment horizontal="center"/>
    </xf>
    <xf numFmtId="0" fontId="0" fillId="0" borderId="87" xfId="0" applyBorder="1"/>
    <xf numFmtId="0" fontId="0" fillId="0" borderId="86" xfId="0" applyBorder="1"/>
    <xf numFmtId="0" fontId="0" fillId="0" borderId="88" xfId="0" applyBorder="1"/>
    <xf numFmtId="0" fontId="0" fillId="0" borderId="0" xfId="0" applyAlignment="1">
      <alignment horizontal="center"/>
    </xf>
    <xf numFmtId="0" fontId="37" fillId="18" borderId="0" xfId="0" applyFont="1" applyFill="1" applyAlignment="1">
      <alignment horizontal="center"/>
    </xf>
    <xf numFmtId="0" fontId="0" fillId="19" borderId="0" xfId="0" applyFont="1" applyFill="1" applyAlignment="1">
      <alignment horizontal="center"/>
    </xf>
    <xf numFmtId="0" fontId="46" fillId="19" borderId="0" xfId="0" applyFont="1" applyFill="1" applyAlignment="1">
      <alignment wrapText="1"/>
    </xf>
    <xf numFmtId="0" fontId="0" fillId="19" borderId="0" xfId="0" applyFill="1"/>
    <xf numFmtId="0" fontId="0" fillId="14" borderId="0" xfId="0" applyFont="1" applyFill="1" applyAlignment="1">
      <alignment horizontal="center"/>
    </xf>
    <xf numFmtId="0" fontId="46" fillId="14" borderId="0" xfId="0" applyFont="1" applyFill="1" applyAlignment="1">
      <alignment wrapText="1"/>
    </xf>
    <xf numFmtId="0" fontId="46" fillId="19" borderId="0" xfId="0" applyFont="1" applyFill="1" applyAlignment="1">
      <alignment wrapText="1"/>
    </xf>
    <xf numFmtId="0" fontId="0" fillId="15" borderId="0" xfId="0" applyFill="1" applyBorder="1"/>
    <xf numFmtId="0" fontId="47" fillId="15" borderId="71" xfId="0" applyFont="1" applyFill="1" applyBorder="1" applyAlignment="1">
      <alignment vertical="center" wrapText="1"/>
    </xf>
    <xf numFmtId="0" fontId="47" fillId="15" borderId="0" xfId="0" applyFont="1" applyFill="1" applyBorder="1" applyAlignment="1">
      <alignment vertical="center" wrapText="1"/>
    </xf>
    <xf numFmtId="0" fontId="47" fillId="15" borderId="72" xfId="0" applyFont="1" applyFill="1" applyBorder="1" applyAlignment="1">
      <alignment vertical="center" wrapText="1"/>
    </xf>
    <xf numFmtId="0" fontId="47" fillId="15" borderId="86" xfId="0" applyFont="1" applyFill="1" applyBorder="1" applyAlignment="1">
      <alignment vertical="center" wrapText="1"/>
    </xf>
    <xf numFmtId="0" fontId="47" fillId="15" borderId="87" xfId="0" applyFont="1" applyFill="1" applyBorder="1" applyAlignment="1">
      <alignment vertical="center" wrapText="1"/>
    </xf>
    <xf numFmtId="0" fontId="47" fillId="15" borderId="88" xfId="0" applyFont="1" applyFill="1" applyBorder="1" applyAlignment="1">
      <alignment vertical="center" wrapText="1"/>
    </xf>
    <xf numFmtId="0" fontId="10" fillId="32" borderId="0" xfId="0" applyFont="1" applyFill="1"/>
    <xf numFmtId="0" fontId="38" fillId="32" borderId="0" xfId="0" applyFont="1" applyFill="1" applyAlignment="1">
      <alignment horizontal="right"/>
    </xf>
    <xf numFmtId="165" fontId="0" fillId="14" borderId="20" xfId="0" applyNumberFormat="1" applyFill="1" applyBorder="1" applyAlignment="1">
      <alignment horizontal="center"/>
    </xf>
    <xf numFmtId="165" fontId="0" fillId="19" borderId="20" xfId="0" applyNumberFormat="1" applyFill="1" applyBorder="1" applyAlignment="1">
      <alignment horizontal="center"/>
    </xf>
    <xf numFmtId="0" fontId="37" fillId="18" borderId="20" xfId="0" applyFont="1" applyFill="1" applyBorder="1"/>
    <xf numFmtId="0" fontId="37" fillId="13" borderId="82" xfId="0" applyFont="1" applyFill="1" applyBorder="1" applyAlignment="1">
      <alignment horizontal="center"/>
    </xf>
    <xf numFmtId="0" fontId="0" fillId="32" borderId="20" xfId="0" applyFill="1" applyBorder="1"/>
    <xf numFmtId="165" fontId="0" fillId="0" borderId="0" xfId="0" applyNumberFormat="1"/>
    <xf numFmtId="0" fontId="0" fillId="15" borderId="20" xfId="0" applyFill="1" applyBorder="1"/>
    <xf numFmtId="0" fontId="37" fillId="13" borderId="0" xfId="0" applyFont="1" applyFill="1" applyBorder="1" applyAlignment="1">
      <alignment horizontal="center"/>
    </xf>
    <xf numFmtId="0" fontId="13" fillId="13" borderId="0" xfId="0" applyFont="1" applyFill="1" applyAlignment="1">
      <alignment horizontal="center"/>
    </xf>
    <xf numFmtId="0" fontId="50" fillId="28" borderId="0" xfId="0" applyFont="1" applyFill="1" applyAlignment="1">
      <alignment horizontal="center"/>
    </xf>
    <xf numFmtId="0" fontId="16" fillId="18" borderId="0" xfId="0" applyFont="1" applyFill="1"/>
    <xf numFmtId="0" fontId="37" fillId="13" borderId="20" xfId="0" applyFont="1" applyFill="1" applyBorder="1" applyAlignment="1">
      <alignment horizontal="center"/>
    </xf>
    <xf numFmtId="0" fontId="0" fillId="19" borderId="20" xfId="0" applyFill="1" applyBorder="1" applyAlignment="1">
      <alignment horizontal="left"/>
    </xf>
    <xf numFmtId="0" fontId="0" fillId="14" borderId="20" xfId="0" applyFill="1" applyBorder="1" applyAlignment="1">
      <alignment horizontal="left"/>
    </xf>
    <xf numFmtId="0" fontId="0" fillId="19" borderId="20" xfId="0" applyFill="1" applyBorder="1" applyAlignment="1">
      <alignment horizontal="left"/>
    </xf>
    <xf numFmtId="0" fontId="0" fillId="21" borderId="20" xfId="0" applyFill="1" applyBorder="1"/>
    <xf numFmtId="165" fontId="10" fillId="21" borderId="20" xfId="0" applyNumberFormat="1" applyFont="1" applyFill="1" applyBorder="1" applyAlignment="1">
      <alignment horizontal="center"/>
    </xf>
    <xf numFmtId="0" fontId="16" fillId="18" borderId="20" xfId="0" applyFont="1" applyFill="1" applyBorder="1"/>
    <xf numFmtId="0" fontId="10" fillId="28" borderId="20" xfId="0" applyFont="1" applyFill="1" applyBorder="1" applyAlignment="1">
      <alignment horizontal="center"/>
    </xf>
    <xf numFmtId="165" fontId="52" fillId="0" borderId="20" xfId="0" applyNumberFormat="1" applyFont="1" applyBorder="1" applyAlignment="1">
      <alignment horizontal="center"/>
    </xf>
    <xf numFmtId="0" fontId="52" fillId="0" borderId="20" xfId="0" applyFont="1" applyBorder="1" applyAlignment="1">
      <alignment horizontal="center"/>
    </xf>
    <xf numFmtId="0" fontId="0" fillId="28" borderId="0" xfId="0" applyFill="1"/>
    <xf numFmtId="0" fontId="46" fillId="28" borderId="0" xfId="0" applyFont="1" applyFill="1" applyAlignment="1">
      <alignment wrapText="1"/>
    </xf>
    <xf numFmtId="0" fontId="0" fillId="26" borderId="20" xfId="0" applyFill="1" applyBorder="1"/>
    <xf numFmtId="0" fontId="0" fillId="15" borderId="20" xfId="0" applyFill="1" applyBorder="1" applyAlignment="1">
      <alignment wrapText="1"/>
    </xf>
    <xf numFmtId="0" fontId="0" fillId="32" borderId="20" xfId="0" applyFill="1" applyBorder="1" applyAlignment="1">
      <alignment wrapText="1"/>
    </xf>
    <xf numFmtId="0" fontId="0" fillId="26" borderId="20" xfId="0" applyFill="1" applyBorder="1" applyAlignment="1">
      <alignment wrapText="1"/>
    </xf>
    <xf numFmtId="0" fontId="0" fillId="29" borderId="20" xfId="0" applyFill="1" applyBorder="1" applyAlignment="1">
      <alignment wrapText="1"/>
    </xf>
    <xf numFmtId="0" fontId="0" fillId="13" borderId="0" xfId="0" applyFill="1"/>
    <xf numFmtId="0" fontId="0" fillId="15" borderId="20" xfId="0" applyFill="1" applyBorder="1" applyAlignment="1">
      <alignment horizontal="center"/>
    </xf>
    <xf numFmtId="0" fontId="53" fillId="23" borderId="0" xfId="0" applyFont="1" applyFill="1"/>
    <xf numFmtId="0" fontId="37" fillId="18" borderId="20" xfId="0" applyFont="1" applyFill="1" applyBorder="1" applyAlignment="1">
      <alignment horizontal="center" wrapText="1"/>
    </xf>
    <xf numFmtId="0" fontId="46" fillId="34" borderId="0" xfId="0" applyFont="1" applyFill="1" applyAlignment="1">
      <alignment wrapText="1"/>
    </xf>
    <xf numFmtId="49" fontId="0" fillId="15" borderId="20" xfId="0" applyNumberFormat="1" applyFill="1" applyBorder="1" applyAlignment="1">
      <alignment horizontal="center"/>
    </xf>
    <xf numFmtId="49" fontId="0" fillId="32" borderId="20" xfId="0" applyNumberFormat="1" applyFill="1" applyBorder="1" applyAlignment="1">
      <alignment horizontal="center"/>
    </xf>
    <xf numFmtId="49" fontId="0" fillId="26" borderId="20" xfId="0" applyNumberFormat="1" applyFill="1" applyBorder="1" applyAlignment="1">
      <alignment horizontal="center"/>
    </xf>
    <xf numFmtId="0" fontId="10" fillId="21" borderId="20" xfId="0" applyFont="1" applyFill="1" applyBorder="1" applyAlignment="1">
      <alignment horizontal="center"/>
    </xf>
    <xf numFmtId="0" fontId="3" fillId="2" borderId="20" xfId="0" applyFont="1" applyFill="1" applyBorder="1"/>
    <xf numFmtId="0" fontId="12" fillId="13" borderId="20" xfId="0" applyFont="1" applyFill="1" applyBorder="1" applyAlignment="1">
      <alignment horizontal="center" vertical="center"/>
    </xf>
    <xf numFmtId="0" fontId="23" fillId="18" borderId="20" xfId="0" applyFont="1" applyFill="1" applyBorder="1" applyAlignment="1">
      <alignment horizontal="center" vertical="center"/>
    </xf>
    <xf numFmtId="0" fontId="16" fillId="13" borderId="20" xfId="0" applyFont="1" applyFill="1" applyBorder="1"/>
    <xf numFmtId="0" fontId="51" fillId="15" borderId="20" xfId="0" applyFont="1" applyFill="1" applyBorder="1" applyAlignment="1">
      <alignment horizontal="center"/>
    </xf>
    <xf numFmtId="0" fontId="55" fillId="15" borderId="20" xfId="0" applyFont="1" applyFill="1" applyBorder="1" applyAlignment="1">
      <alignment horizontal="center"/>
    </xf>
    <xf numFmtId="0" fontId="10" fillId="15" borderId="20" xfId="0" applyFont="1" applyFill="1" applyBorder="1" applyAlignment="1">
      <alignment horizontal="center"/>
    </xf>
    <xf numFmtId="0" fontId="10" fillId="29" borderId="20" xfId="0" applyFont="1" applyFill="1" applyBorder="1"/>
    <xf numFmtId="49" fontId="0" fillId="15" borderId="20" xfId="0" applyNumberFormat="1" applyFill="1" applyBorder="1"/>
    <xf numFmtId="49" fontId="0" fillId="32" borderId="20" xfId="0" applyNumberFormat="1" applyFill="1" applyBorder="1"/>
    <xf numFmtId="49" fontId="0" fillId="26" borderId="20" xfId="0" applyNumberFormat="1" applyFill="1" applyBorder="1"/>
    <xf numFmtId="0" fontId="37" fillId="13" borderId="21" xfId="0" applyFont="1" applyFill="1" applyBorder="1"/>
    <xf numFmtId="0" fontId="37" fillId="13" borderId="22" xfId="0" applyFont="1" applyFill="1" applyBorder="1"/>
    <xf numFmtId="0" fontId="37" fillId="13" borderId="23" xfId="0" applyFont="1" applyFill="1" applyBorder="1"/>
    <xf numFmtId="165" fontId="54" fillId="15" borderId="20" xfId="0" applyNumberFormat="1" applyFont="1" applyFill="1" applyBorder="1" applyAlignment="1">
      <alignment horizontal="center"/>
    </xf>
    <xf numFmtId="165" fontId="51" fillId="15" borderId="20" xfId="0" applyNumberFormat="1" applyFont="1" applyFill="1" applyBorder="1" applyAlignment="1">
      <alignment horizontal="center"/>
    </xf>
    <xf numFmtId="165" fontId="2" fillId="19" borderId="30" xfId="0" applyNumberFormat="1" applyFont="1" applyFill="1" applyBorder="1" applyAlignment="1">
      <alignment horizontal="center" vertical="center"/>
    </xf>
    <xf numFmtId="165" fontId="2" fillId="14" borderId="33" xfId="0" applyNumberFormat="1" applyFont="1" applyFill="1" applyBorder="1" applyAlignment="1">
      <alignment horizontal="center" vertical="center"/>
    </xf>
    <xf numFmtId="165" fontId="2" fillId="19" borderId="33" xfId="0" applyNumberFormat="1" applyFont="1" applyFill="1" applyBorder="1" applyAlignment="1">
      <alignment horizontal="center" vertical="center"/>
    </xf>
    <xf numFmtId="165" fontId="37" fillId="18" borderId="20" xfId="0" applyNumberFormat="1" applyFont="1" applyFill="1" applyBorder="1" applyAlignment="1">
      <alignment horizontal="center"/>
    </xf>
    <xf numFmtId="165" fontId="0" fillId="0" borderId="20" xfId="0" applyNumberFormat="1" applyBorder="1"/>
    <xf numFmtId="165" fontId="1" fillId="12" borderId="20" xfId="0" applyNumberFormat="1" applyFont="1" applyFill="1" applyBorder="1"/>
    <xf numFmtId="165" fontId="1" fillId="2" borderId="20" xfId="0" applyNumberFormat="1" applyFont="1" applyFill="1" applyBorder="1"/>
    <xf numFmtId="165" fontId="1" fillId="2" borderId="20" xfId="0" applyNumberFormat="1" applyFont="1" applyFill="1" applyBorder="1"/>
    <xf numFmtId="165" fontId="1" fillId="14" borderId="20" xfId="0" applyNumberFormat="1" applyFont="1" applyFill="1" applyBorder="1"/>
    <xf numFmtId="165" fontId="1" fillId="19" borderId="20" xfId="0" applyNumberFormat="1" applyFont="1" applyFill="1" applyBorder="1"/>
    <xf numFmtId="165" fontId="36" fillId="30" borderId="20" xfId="0" applyNumberFormat="1" applyFont="1" applyFill="1" applyBorder="1"/>
    <xf numFmtId="165" fontId="36" fillId="16" borderId="21" xfId="0" applyNumberFormat="1" applyFont="1" applyFill="1" applyBorder="1"/>
    <xf numFmtId="165" fontId="36" fillId="31" borderId="20" xfId="0" applyNumberFormat="1" applyFont="1" applyFill="1" applyBorder="1"/>
    <xf numFmtId="165" fontId="0" fillId="0" borderId="20" xfId="0" applyNumberFormat="1" applyBorder="1"/>
    <xf numFmtId="165" fontId="10" fillId="0" borderId="20" xfId="0" applyNumberFormat="1" applyFont="1" applyBorder="1"/>
    <xf numFmtId="165" fontId="10" fillId="15" borderId="20" xfId="0" applyNumberFormat="1" applyFont="1" applyFill="1" applyBorder="1"/>
    <xf numFmtId="168" fontId="37" fillId="18" borderId="20" xfId="0" applyNumberFormat="1" applyFont="1" applyFill="1" applyBorder="1" applyAlignment="1">
      <alignment horizontal="center"/>
    </xf>
    <xf numFmtId="168" fontId="0" fillId="0" borderId="20" xfId="0" applyNumberFormat="1" applyBorder="1"/>
    <xf numFmtId="168" fontId="1" fillId="12" borderId="20" xfId="0" applyNumberFormat="1" applyFont="1" applyFill="1" applyBorder="1"/>
    <xf numFmtId="168" fontId="1" fillId="2" borderId="20" xfId="0" applyNumberFormat="1" applyFont="1" applyFill="1" applyBorder="1"/>
    <xf numFmtId="168" fontId="1" fillId="2" borderId="20" xfId="0" applyNumberFormat="1" applyFont="1" applyFill="1" applyBorder="1"/>
    <xf numFmtId="168" fontId="1" fillId="14" borderId="20" xfId="0" applyNumberFormat="1" applyFont="1" applyFill="1" applyBorder="1"/>
    <xf numFmtId="168" fontId="1" fillId="19" borderId="20" xfId="0" applyNumberFormat="1" applyFont="1" applyFill="1" applyBorder="1"/>
    <xf numFmtId="168" fontId="36" fillId="30" borderId="20" xfId="0" applyNumberFormat="1" applyFont="1" applyFill="1" applyBorder="1"/>
    <xf numFmtId="168" fontId="1" fillId="2" borderId="89" xfId="0" applyNumberFormat="1" applyFont="1" applyFill="1" applyBorder="1"/>
    <xf numFmtId="168" fontId="10" fillId="16" borderId="20" xfId="0" applyNumberFormat="1" applyFont="1" applyFill="1" applyBorder="1"/>
    <xf numFmtId="168" fontId="1" fillId="2" borderId="90" xfId="0" applyNumberFormat="1" applyFont="1" applyFill="1" applyBorder="1"/>
    <xf numFmtId="168" fontId="36" fillId="31" borderId="20" xfId="0" applyNumberFormat="1" applyFont="1" applyFill="1" applyBorder="1"/>
    <xf numFmtId="168" fontId="0" fillId="0" borderId="20" xfId="0" applyNumberFormat="1" applyBorder="1"/>
    <xf numFmtId="168" fontId="10" fillId="0" borderId="20" xfId="0" applyNumberFormat="1" applyFont="1" applyBorder="1"/>
    <xf numFmtId="168" fontId="10" fillId="15" borderId="20" xfId="0" applyNumberFormat="1" applyFont="1" applyFill="1" applyBorder="1"/>
    <xf numFmtId="165" fontId="5" fillId="8" borderId="24" xfId="0" applyNumberFormat="1" applyFont="1" applyFill="1" applyBorder="1" applyAlignment="1">
      <alignment horizontal="left" vertical="center"/>
    </xf>
    <xf numFmtId="165" fontId="2" fillId="19" borderId="42" xfId="0" applyNumberFormat="1" applyFont="1" applyFill="1" applyBorder="1" applyAlignment="1">
      <alignment horizontal="center" vertical="center"/>
    </xf>
    <xf numFmtId="165" fontId="3" fillId="19" borderId="42" xfId="0" applyNumberFormat="1" applyFont="1" applyFill="1" applyBorder="1" applyAlignment="1">
      <alignment horizontal="center" vertical="center"/>
    </xf>
    <xf numFmtId="165" fontId="2" fillId="14" borderId="42" xfId="0" applyNumberFormat="1" applyFont="1" applyFill="1" applyBorder="1" applyAlignment="1">
      <alignment horizontal="center" vertical="center"/>
    </xf>
    <xf numFmtId="165" fontId="3" fillId="14" borderId="42" xfId="0" applyNumberFormat="1" applyFont="1" applyFill="1" applyBorder="1" applyAlignment="1">
      <alignment horizontal="center" vertical="center"/>
    </xf>
    <xf numFmtId="165" fontId="2" fillId="14" borderId="63" xfId="0" applyNumberFormat="1" applyFont="1" applyFill="1" applyBorder="1" applyAlignment="1">
      <alignment horizontal="center" vertical="center"/>
    </xf>
    <xf numFmtId="165" fontId="3" fillId="14" borderId="63" xfId="0" applyNumberFormat="1" applyFont="1" applyFill="1" applyBorder="1" applyAlignment="1">
      <alignment horizontal="center" vertical="center"/>
    </xf>
    <xf numFmtId="165" fontId="25" fillId="21" borderId="8" xfId="0" applyNumberFormat="1" applyFont="1" applyFill="1" applyBorder="1" applyAlignment="1">
      <alignment horizontal="center" vertical="center"/>
    </xf>
    <xf numFmtId="165" fontId="2" fillId="14" borderId="3" xfId="0" applyNumberFormat="1" applyFont="1" applyFill="1" applyBorder="1" applyAlignment="1">
      <alignment horizontal="center" vertical="center"/>
    </xf>
    <xf numFmtId="165" fontId="2" fillId="19" borderId="36" xfId="0" applyNumberFormat="1" applyFont="1" applyFill="1" applyBorder="1" applyAlignment="1">
      <alignment horizontal="center" vertical="center"/>
    </xf>
    <xf numFmtId="165" fontId="2" fillId="19" borderId="52" xfId="0" applyNumberFormat="1" applyFont="1" applyFill="1" applyBorder="1" applyAlignment="1">
      <alignment horizontal="center" vertical="center"/>
    </xf>
    <xf numFmtId="165" fontId="2" fillId="14" borderId="54" xfId="0" applyNumberFormat="1" applyFont="1" applyFill="1" applyBorder="1" applyAlignment="1">
      <alignment horizontal="center" vertical="center"/>
    </xf>
    <xf numFmtId="165" fontId="2" fillId="19" borderId="54" xfId="0" applyNumberFormat="1" applyFont="1" applyFill="1" applyBorder="1" applyAlignment="1">
      <alignment horizontal="center" vertical="center"/>
    </xf>
    <xf numFmtId="165" fontId="25" fillId="21" borderId="56" xfId="0" applyNumberFormat="1" applyFont="1" applyFill="1" applyBorder="1" applyAlignment="1">
      <alignment horizontal="center" vertical="center"/>
    </xf>
    <xf numFmtId="165" fontId="35" fillId="19" borderId="74" xfId="0" applyNumberFormat="1" applyFont="1" applyFill="1" applyBorder="1" applyAlignment="1">
      <alignment horizontal="center" vertical="center"/>
    </xf>
    <xf numFmtId="1" fontId="2" fillId="19" borderId="30" xfId="0" applyNumberFormat="1" applyFont="1" applyFill="1" applyBorder="1" applyAlignment="1">
      <alignment horizontal="center" vertical="center"/>
    </xf>
    <xf numFmtId="1" fontId="2" fillId="14" borderId="33" xfId="0" applyNumberFormat="1" applyFont="1" applyFill="1" applyBorder="1" applyAlignment="1">
      <alignment horizontal="center" vertical="center"/>
    </xf>
    <xf numFmtId="1" fontId="2" fillId="14" borderId="36" xfId="0" applyNumberFormat="1" applyFont="1" applyFill="1" applyBorder="1" applyAlignment="1">
      <alignment horizontal="center" vertical="center"/>
    </xf>
    <xf numFmtId="2" fontId="2" fillId="19" borderId="3" xfId="0" applyNumberFormat="1" applyFont="1" applyFill="1" applyBorder="1" applyAlignment="1">
      <alignment horizontal="center" vertical="center"/>
    </xf>
    <xf numFmtId="0" fontId="47" fillId="19" borderId="20" xfId="0" applyFont="1" applyFill="1" applyBorder="1" applyAlignment="1">
      <alignment horizontal="left"/>
    </xf>
    <xf numFmtId="0" fontId="47" fillId="14" borderId="20" xfId="0" applyFont="1" applyFill="1" applyBorder="1" applyAlignment="1">
      <alignment horizontal="left"/>
    </xf>
    <xf numFmtId="0" fontId="61" fillId="19" borderId="0" xfId="0" applyFont="1" applyFill="1" applyBorder="1" applyAlignment="1">
      <alignment horizontal="left"/>
    </xf>
    <xf numFmtId="0" fontId="53" fillId="23" borderId="0" xfId="0" applyFont="1" applyFill="1"/>
    <xf numFmtId="0" fontId="60" fillId="15" borderId="0" xfId="0" applyFont="1" applyFill="1" applyBorder="1" applyAlignment="1">
      <alignment horizontal="center" vertical="center"/>
    </xf>
    <xf numFmtId="0" fontId="0" fillId="21" borderId="0" xfId="0" applyFill="1" applyBorder="1"/>
    <xf numFmtId="0" fontId="49" fillId="18" borderId="0" xfId="0" applyFont="1" applyFill="1" applyBorder="1" applyAlignment="1">
      <alignment horizontal="center"/>
    </xf>
    <xf numFmtId="0" fontId="58" fillId="23" borderId="0" xfId="0" applyFont="1" applyFill="1" applyBorder="1" applyAlignment="1">
      <alignment horizontal="right" vertical="center"/>
    </xf>
    <xf numFmtId="0" fontId="30" fillId="23" borderId="0" xfId="0" applyFont="1" applyFill="1" applyBorder="1" applyAlignment="1">
      <alignment horizontal="left" vertical="center"/>
    </xf>
    <xf numFmtId="0" fontId="16" fillId="13" borderId="77" xfId="0" applyFont="1" applyFill="1" applyBorder="1" applyAlignment="1">
      <alignment horizontal="center" vertical="center"/>
    </xf>
    <xf numFmtId="0" fontId="59" fillId="15" borderId="95" xfId="0" applyFont="1" applyFill="1" applyBorder="1" applyAlignment="1">
      <alignment horizontal="right" vertical="center"/>
    </xf>
    <xf numFmtId="167" fontId="62" fillId="15" borderId="95" xfId="0" applyNumberFormat="1" applyFont="1" applyFill="1" applyBorder="1" applyAlignment="1">
      <alignment horizontal="left" vertical="center"/>
    </xf>
    <xf numFmtId="0" fontId="62" fillId="15" borderId="95" xfId="0" applyFont="1" applyFill="1" applyBorder="1" applyAlignment="1">
      <alignment horizontal="left" vertical="center"/>
    </xf>
    <xf numFmtId="0" fontId="16" fillId="13" borderId="81" xfId="0" applyFont="1" applyFill="1" applyBorder="1" applyAlignment="1">
      <alignment horizontal="center" vertical="center"/>
    </xf>
    <xf numFmtId="0" fontId="60" fillId="15" borderId="79" xfId="0" applyFont="1" applyFill="1" applyBorder="1" applyAlignment="1">
      <alignment horizontal="center" vertical="center"/>
    </xf>
    <xf numFmtId="0" fontId="0" fillId="21" borderId="79" xfId="0" applyFill="1" applyBorder="1"/>
    <xf numFmtId="0" fontId="49" fillId="18" borderId="79" xfId="0" applyFont="1" applyFill="1" applyBorder="1" applyAlignment="1">
      <alignment horizontal="center"/>
    </xf>
    <xf numFmtId="0" fontId="61" fillId="19" borderId="79" xfId="0" applyFont="1" applyFill="1" applyBorder="1" applyAlignment="1">
      <alignment horizontal="left"/>
    </xf>
    <xf numFmtId="0" fontId="30" fillId="23" borderId="79" xfId="0" applyFont="1" applyFill="1" applyBorder="1" applyAlignment="1">
      <alignment horizontal="left" vertical="center"/>
    </xf>
    <xf numFmtId="0" fontId="62" fillId="15" borderId="96" xfId="0" applyFont="1" applyFill="1" applyBorder="1" applyAlignment="1">
      <alignment horizontal="left" vertical="center"/>
    </xf>
    <xf numFmtId="0" fontId="16" fillId="13" borderId="97" xfId="0" applyFont="1" applyFill="1" applyBorder="1" applyAlignment="1">
      <alignment horizontal="center" vertical="center"/>
    </xf>
    <xf numFmtId="0" fontId="60" fillId="15" borderId="98" xfId="0" applyFont="1" applyFill="1" applyBorder="1" applyAlignment="1">
      <alignment horizontal="center" vertical="center"/>
    </xf>
    <xf numFmtId="0" fontId="0" fillId="21" borderId="98" xfId="0" applyFill="1" applyBorder="1"/>
    <xf numFmtId="0" fontId="49" fillId="18" borderId="98" xfId="0" applyFont="1" applyFill="1" applyBorder="1" applyAlignment="1">
      <alignment horizontal="center"/>
    </xf>
    <xf numFmtId="0" fontId="61" fillId="19" borderId="98" xfId="0" applyFont="1" applyFill="1" applyBorder="1" applyAlignment="1">
      <alignment horizontal="left"/>
    </xf>
    <xf numFmtId="0" fontId="58" fillId="23" borderId="98" xfId="0" applyFont="1" applyFill="1" applyBorder="1" applyAlignment="1">
      <alignment horizontal="right" vertical="center"/>
    </xf>
    <xf numFmtId="0" fontId="59" fillId="15" borderId="99" xfId="0" applyFont="1" applyFill="1" applyBorder="1" applyAlignment="1">
      <alignment horizontal="right" vertical="center"/>
    </xf>
    <xf numFmtId="0" fontId="32" fillId="27" borderId="100" xfId="0" applyFont="1" applyFill="1" applyBorder="1" applyAlignment="1">
      <alignment horizontal="center" vertical="center"/>
    </xf>
    <xf numFmtId="0" fontId="32" fillId="27" borderId="101" xfId="0" applyFont="1" applyFill="1" applyBorder="1" applyAlignment="1">
      <alignment horizontal="center" vertical="center"/>
    </xf>
    <xf numFmtId="0" fontId="7" fillId="25" borderId="102" xfId="0" applyFont="1" applyFill="1" applyBorder="1" applyAlignment="1">
      <alignment horizontal="center" vertical="center"/>
    </xf>
    <xf numFmtId="0" fontId="7" fillId="25" borderId="103" xfId="0" applyFont="1" applyFill="1" applyBorder="1" applyAlignment="1">
      <alignment horizontal="center" vertical="center"/>
    </xf>
    <xf numFmtId="0" fontId="7" fillId="25" borderId="104" xfId="0" applyFont="1" applyFill="1" applyBorder="1" applyAlignment="1">
      <alignment horizontal="center" vertical="center"/>
    </xf>
    <xf numFmtId="0" fontId="33" fillId="35" borderId="105" xfId="0" applyFont="1" applyFill="1" applyBorder="1" applyAlignment="1">
      <alignment horizontal="center" vertical="center" wrapText="1"/>
    </xf>
    <xf numFmtId="0" fontId="33" fillId="35" borderId="106" xfId="0" applyFont="1" applyFill="1" applyBorder="1" applyAlignment="1">
      <alignment horizontal="center" vertical="center" wrapText="1"/>
    </xf>
    <xf numFmtId="0" fontId="9" fillId="35" borderId="107" xfId="0" applyFont="1" applyFill="1" applyBorder="1" applyAlignment="1">
      <alignment horizontal="center" vertical="center"/>
    </xf>
    <xf numFmtId="0" fontId="20" fillId="33" borderId="105" xfId="0" applyFont="1" applyFill="1" applyBorder="1" applyAlignment="1">
      <alignment horizontal="left" vertical="center"/>
    </xf>
    <xf numFmtId="0" fontId="17" fillId="33" borderId="106" xfId="0" applyFont="1" applyFill="1" applyBorder="1" applyAlignment="1">
      <alignment horizontal="center" vertical="center"/>
    </xf>
    <xf numFmtId="1" fontId="20" fillId="33" borderId="106" xfId="0" applyNumberFormat="1" applyFont="1" applyFill="1" applyBorder="1" applyAlignment="1">
      <alignment horizontal="center" vertical="center"/>
    </xf>
    <xf numFmtId="9" fontId="17" fillId="33" borderId="106" xfId="0" applyNumberFormat="1" applyFont="1" applyFill="1" applyBorder="1" applyAlignment="1">
      <alignment horizontal="center" vertical="center"/>
    </xf>
    <xf numFmtId="165" fontId="3" fillId="33" borderId="107" xfId="0" applyNumberFormat="1" applyFont="1" applyFill="1" applyBorder="1" applyAlignment="1">
      <alignment horizontal="center" vertical="center"/>
    </xf>
    <xf numFmtId="0" fontId="20" fillId="14" borderId="105" xfId="0" applyFont="1" applyFill="1" applyBorder="1" applyAlignment="1">
      <alignment horizontal="left" vertical="center"/>
    </xf>
    <xf numFmtId="0" fontId="17" fillId="14" borderId="106" xfId="0" applyFont="1" applyFill="1" applyBorder="1" applyAlignment="1">
      <alignment horizontal="center" vertical="center"/>
    </xf>
    <xf numFmtId="1" fontId="20" fillId="14" borderId="106" xfId="0" applyNumberFormat="1" applyFont="1" applyFill="1" applyBorder="1" applyAlignment="1">
      <alignment horizontal="center" vertical="center"/>
    </xf>
    <xf numFmtId="9" fontId="17" fillId="14" borderId="106" xfId="0" applyNumberFormat="1" applyFont="1" applyFill="1" applyBorder="1" applyAlignment="1">
      <alignment horizontal="center" vertical="center"/>
    </xf>
    <xf numFmtId="165" fontId="3" fillId="14" borderId="107" xfId="0" applyNumberFormat="1" applyFont="1" applyFill="1" applyBorder="1" applyAlignment="1">
      <alignment horizontal="center" vertical="center"/>
    </xf>
    <xf numFmtId="9" fontId="20" fillId="33" borderId="106" xfId="0" applyNumberFormat="1" applyFont="1" applyFill="1" applyBorder="1" applyAlignment="1">
      <alignment horizontal="center" vertical="center"/>
    </xf>
    <xf numFmtId="0" fontId="11" fillId="0" borderId="0" xfId="0" applyFont="1" applyBorder="1"/>
    <xf numFmtId="0" fontId="0" fillId="26" borderId="0" xfId="0" applyFill="1" applyBorder="1"/>
    <xf numFmtId="0" fontId="0" fillId="23" borderId="0" xfId="0" applyFill="1" applyBorder="1"/>
    <xf numFmtId="0" fontId="0" fillId="0" borderId="76" xfId="0" applyBorder="1"/>
    <xf numFmtId="0" fontId="0" fillId="0" borderId="93" xfId="0" applyBorder="1"/>
    <xf numFmtId="0" fontId="49" fillId="13" borderId="109" xfId="0" applyFont="1" applyFill="1" applyBorder="1"/>
    <xf numFmtId="0" fontId="44" fillId="29" borderId="91" xfId="0" applyFont="1" applyFill="1" applyBorder="1"/>
    <xf numFmtId="0" fontId="11" fillId="0" borderId="91" xfId="0" applyFont="1" applyBorder="1"/>
    <xf numFmtId="0" fontId="10" fillId="33" borderId="91" xfId="0" applyFont="1" applyFill="1" applyBorder="1"/>
    <xf numFmtId="0" fontId="63" fillId="0" borderId="91" xfId="0" applyFont="1" applyBorder="1"/>
    <xf numFmtId="0" fontId="64" fillId="0" borderId="91" xfId="0" applyFont="1" applyBorder="1"/>
    <xf numFmtId="0" fontId="65" fillId="0" borderId="91" xfId="0" applyFont="1" applyBorder="1"/>
    <xf numFmtId="0" fontId="44" fillId="29" borderId="110" xfId="0" applyFont="1" applyFill="1" applyBorder="1"/>
    <xf numFmtId="0" fontId="0" fillId="0" borderId="92" xfId="0" applyBorder="1"/>
    <xf numFmtId="0" fontId="0" fillId="0" borderId="78" xfId="0" applyBorder="1"/>
    <xf numFmtId="0" fontId="11" fillId="0" borderId="78" xfId="0" applyFont="1" applyBorder="1"/>
    <xf numFmtId="0" fontId="0" fillId="0" borderId="94" xfId="0" applyBorder="1"/>
    <xf numFmtId="9" fontId="20" fillId="14" borderId="106" xfId="0" applyNumberFormat="1" applyFont="1" applyFill="1" applyBorder="1" applyAlignment="1">
      <alignment horizontal="center" vertical="center"/>
    </xf>
    <xf numFmtId="165" fontId="2" fillId="27" borderId="108" xfId="0" applyNumberFormat="1" applyFont="1" applyFill="1" applyBorder="1" applyAlignment="1">
      <alignment horizontal="center" vertical="center"/>
    </xf>
    <xf numFmtId="0" fontId="32" fillId="27" borderId="111" xfId="0" applyFont="1" applyFill="1" applyBorder="1" applyAlignment="1">
      <alignment horizontal="center" vertical="center"/>
    </xf>
    <xf numFmtId="0" fontId="57" fillId="14" borderId="0" xfId="0" applyNumberFormat="1" applyFont="1" applyFill="1" applyBorder="1" applyAlignment="1">
      <alignment horizontal="center"/>
    </xf>
    <xf numFmtId="1" fontId="57" fillId="14" borderId="0" xfId="0" applyNumberFormat="1" applyFont="1" applyFill="1" applyBorder="1" applyAlignment="1">
      <alignment horizontal="center"/>
    </xf>
    <xf numFmtId="0" fontId="8" fillId="13" borderId="20" xfId="0" applyNumberFormat="1" applyFont="1" applyFill="1" applyBorder="1" applyAlignment="1">
      <alignment horizontal="center" vertical="center"/>
    </xf>
    <xf numFmtId="0" fontId="9" fillId="18" borderId="20" xfId="0" applyNumberFormat="1" applyFont="1" applyFill="1" applyBorder="1" applyAlignment="1">
      <alignment horizontal="center" vertical="center" wrapText="1"/>
    </xf>
    <xf numFmtId="0" fontId="9" fillId="18" borderId="20" xfId="0" applyNumberFormat="1" applyFont="1" applyFill="1" applyBorder="1" applyAlignment="1">
      <alignment horizontal="center" vertical="center"/>
    </xf>
    <xf numFmtId="0" fontId="17" fillId="19" borderId="20" xfId="0" applyNumberFormat="1" applyFont="1" applyFill="1" applyBorder="1" applyAlignment="1">
      <alignment horizontal="left" vertical="center"/>
    </xf>
    <xf numFmtId="165" fontId="17" fillId="19" borderId="20" xfId="0" applyNumberFormat="1" applyFont="1" applyFill="1" applyBorder="1" applyAlignment="1">
      <alignment horizontal="center" vertical="center"/>
    </xf>
    <xf numFmtId="165" fontId="3" fillId="19" borderId="20" xfId="0" applyNumberFormat="1" applyFont="1" applyFill="1" applyBorder="1" applyAlignment="1">
      <alignment horizontal="center" vertical="center"/>
    </xf>
    <xf numFmtId="0" fontId="3" fillId="19" borderId="20" xfId="0" applyNumberFormat="1" applyFont="1" applyFill="1" applyBorder="1" applyAlignment="1">
      <alignment horizontal="center" vertical="center"/>
    </xf>
    <xf numFmtId="0" fontId="17" fillId="14" borderId="20" xfId="0" applyNumberFormat="1" applyFont="1" applyFill="1" applyBorder="1" applyAlignment="1">
      <alignment horizontal="left" vertical="center"/>
    </xf>
    <xf numFmtId="165" fontId="17" fillId="14" borderId="20" xfId="0" applyNumberFormat="1" applyFont="1" applyFill="1" applyBorder="1" applyAlignment="1">
      <alignment horizontal="center" vertical="center"/>
    </xf>
    <xf numFmtId="165" fontId="3" fillId="14" borderId="20" xfId="0" applyNumberFormat="1" applyFont="1" applyFill="1" applyBorder="1" applyAlignment="1">
      <alignment horizontal="center" vertical="center"/>
    </xf>
    <xf numFmtId="0" fontId="3" fillId="14" borderId="20" xfId="0" applyNumberFormat="1" applyFont="1" applyFill="1" applyBorder="1" applyAlignment="1">
      <alignment horizontal="center" vertical="center"/>
    </xf>
    <xf numFmtId="0" fontId="47" fillId="19" borderId="20" xfId="0" applyNumberFormat="1" applyFont="1" applyFill="1" applyBorder="1" applyAlignment="1">
      <alignment horizontal="left" vertical="center"/>
    </xf>
    <xf numFmtId="49" fontId="47" fillId="19" borderId="20" xfId="0" applyNumberFormat="1" applyFont="1" applyFill="1" applyBorder="1" applyAlignment="1">
      <alignment horizontal="center" vertical="center"/>
    </xf>
    <xf numFmtId="165" fontId="47" fillId="19" borderId="20" xfId="0" applyNumberFormat="1" applyFont="1" applyFill="1" applyBorder="1" applyAlignment="1">
      <alignment horizontal="center" vertical="center"/>
    </xf>
    <xf numFmtId="49" fontId="3" fillId="19" borderId="20" xfId="0" applyNumberFormat="1" applyFont="1" applyFill="1" applyBorder="1" applyAlignment="1">
      <alignment horizontal="center" vertical="center"/>
    </xf>
    <xf numFmtId="49" fontId="17" fillId="14" borderId="20" xfId="0" applyNumberFormat="1" applyFont="1" applyFill="1" applyBorder="1" applyAlignment="1">
      <alignment horizontal="center" vertical="center"/>
    </xf>
    <xf numFmtId="49" fontId="3" fillId="14" borderId="20" xfId="0" applyNumberFormat="1" applyFont="1" applyFill="1" applyBorder="1" applyAlignment="1">
      <alignment horizontal="center" vertical="center"/>
    </xf>
    <xf numFmtId="49" fontId="17" fillId="19" borderId="20" xfId="0" applyNumberFormat="1" applyFont="1" applyFill="1" applyBorder="1" applyAlignment="1">
      <alignment horizontal="center" vertical="center"/>
    </xf>
    <xf numFmtId="0" fontId="66" fillId="36" borderId="20" xfId="0" applyFont="1" applyFill="1" applyBorder="1" applyAlignment="1">
      <alignment horizontal="center" vertical="center"/>
    </xf>
    <xf numFmtId="167" fontId="54" fillId="14" borderId="20" xfId="0" applyNumberFormat="1" applyFont="1" applyFill="1" applyBorder="1" applyAlignment="1">
      <alignment horizontal="center"/>
    </xf>
    <xf numFmtId="0" fontId="54" fillId="14" borderId="20" xfId="0" applyNumberFormat="1" applyFont="1" applyFill="1" applyBorder="1" applyAlignment="1">
      <alignment horizontal="center"/>
    </xf>
    <xf numFmtId="0" fontId="57" fillId="14" borderId="20" xfId="0" applyFont="1" applyFill="1" applyBorder="1" applyAlignment="1">
      <alignment horizontal="center"/>
    </xf>
    <xf numFmtId="165" fontId="57" fillId="14" borderId="20" xfId="0" applyNumberFormat="1" applyFont="1" applyFill="1" applyBorder="1" applyAlignment="1">
      <alignment horizontal="center"/>
    </xf>
    <xf numFmtId="0" fontId="57" fillId="14" borderId="20" xfId="0" applyNumberFormat="1" applyFont="1" applyFill="1" applyBorder="1" applyAlignment="1">
      <alignment horizontal="center"/>
    </xf>
    <xf numFmtId="1" fontId="57" fillId="14" borderId="20" xfId="0" applyNumberFormat="1" applyFont="1" applyFill="1" applyBorder="1" applyAlignment="1">
      <alignment horizontal="center"/>
    </xf>
    <xf numFmtId="0" fontId="18" fillId="21" borderId="0" xfId="0" applyFont="1" applyFill="1"/>
    <xf numFmtId="0" fontId="18" fillId="14" borderId="112" xfId="0" applyFont="1" applyFill="1" applyBorder="1" applyAlignment="1">
      <alignment horizontal="left" vertical="center"/>
    </xf>
    <xf numFmtId="0" fontId="10" fillId="37" borderId="0" xfId="0" applyFont="1" applyFill="1" applyAlignment="1">
      <alignment horizontal="center"/>
    </xf>
    <xf numFmtId="0" fontId="39" fillId="0" borderId="0" xfId="0" applyFont="1"/>
    <xf numFmtId="0" fontId="38" fillId="29" borderId="0" xfId="0" applyFont="1" applyFill="1"/>
    <xf numFmtId="0" fontId="9" fillId="18" borderId="20" xfId="0" applyFont="1" applyFill="1" applyBorder="1" applyAlignment="1">
      <alignment horizontal="center"/>
    </xf>
    <xf numFmtId="1" fontId="21" fillId="21" borderId="63" xfId="0" applyNumberFormat="1" applyFont="1" applyFill="1" applyBorder="1" applyAlignment="1">
      <alignment horizontal="center" vertical="center"/>
    </xf>
    <xf numFmtId="168" fontId="21" fillId="21" borderId="63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1" fontId="1" fillId="2" borderId="0" xfId="0" applyNumberFormat="1" applyFont="1" applyFill="1"/>
    <xf numFmtId="0" fontId="8" fillId="13" borderId="0" xfId="0" applyFont="1" applyFill="1" applyAlignment="1">
      <alignment horizontal="center"/>
    </xf>
    <xf numFmtId="0" fontId="3" fillId="14" borderId="20" xfId="0" applyFont="1" applyFill="1" applyBorder="1" applyAlignment="1">
      <alignment horizontal="left"/>
    </xf>
    <xf numFmtId="0" fontId="3" fillId="12" borderId="20" xfId="0" applyFont="1" applyFill="1" applyBorder="1" applyAlignment="1">
      <alignment horizontal="left"/>
    </xf>
    <xf numFmtId="9" fontId="3" fillId="12" borderId="20" xfId="0" applyNumberFormat="1" applyFont="1" applyFill="1" applyBorder="1" applyAlignment="1">
      <alignment horizontal="left"/>
    </xf>
    <xf numFmtId="1" fontId="3" fillId="12" borderId="20" xfId="0" applyNumberFormat="1" applyFont="1" applyFill="1" applyBorder="1" applyAlignment="1">
      <alignment horizontal="left"/>
    </xf>
    <xf numFmtId="0" fontId="1" fillId="14" borderId="20" xfId="0" applyFont="1" applyFill="1" applyBorder="1" applyAlignment="1">
      <alignment horizontal="left"/>
    </xf>
    <xf numFmtId="9" fontId="1" fillId="12" borderId="20" xfId="0" applyNumberFormat="1" applyFont="1" applyFill="1" applyBorder="1" applyAlignment="1">
      <alignment horizontal="left"/>
    </xf>
    <xf numFmtId="1" fontId="1" fillId="12" borderId="20" xfId="0" applyNumberFormat="1" applyFont="1" applyFill="1" applyBorder="1" applyAlignment="1">
      <alignment horizontal="left"/>
    </xf>
    <xf numFmtId="0" fontId="1" fillId="19" borderId="20" xfId="0" applyFont="1" applyFill="1" applyBorder="1" applyAlignment="1">
      <alignment horizontal="left"/>
    </xf>
    <xf numFmtId="0" fontId="38" fillId="19" borderId="0" xfId="0" applyFont="1" applyFill="1"/>
    <xf numFmtId="49" fontId="67" fillId="19" borderId="0" xfId="0" applyNumberFormat="1" applyFont="1" applyFill="1"/>
    <xf numFmtId="0" fontId="38" fillId="14" borderId="0" xfId="0" applyFont="1" applyFill="1"/>
    <xf numFmtId="49" fontId="67" fillId="14" borderId="0" xfId="0" applyNumberFormat="1" applyFont="1" applyFill="1"/>
    <xf numFmtId="0" fontId="41" fillId="32" borderId="0" xfId="0" applyFont="1" applyFill="1"/>
    <xf numFmtId="0" fontId="3" fillId="19" borderId="61" xfId="0" applyFont="1" applyFill="1" applyBorder="1" applyAlignment="1">
      <alignment horizontal="left" vertical="center"/>
    </xf>
    <xf numFmtId="0" fontId="3" fillId="14" borderId="61" xfId="0" applyFont="1" applyFill="1" applyBorder="1" applyAlignment="1">
      <alignment horizontal="left" vertical="center"/>
    </xf>
    <xf numFmtId="168" fontId="3" fillId="19" borderId="42" xfId="0" applyNumberFormat="1" applyFont="1" applyFill="1" applyBorder="1" applyAlignment="1">
      <alignment horizontal="center" vertical="center"/>
    </xf>
    <xf numFmtId="168" fontId="3" fillId="14" borderId="42" xfId="0" applyNumberFormat="1" applyFont="1" applyFill="1" applyBorder="1" applyAlignment="1">
      <alignment horizontal="center" vertical="center"/>
    </xf>
    <xf numFmtId="168" fontId="35" fillId="19" borderId="74" xfId="0" applyNumberFormat="1" applyFont="1" applyFill="1" applyBorder="1" applyAlignment="1">
      <alignment horizontal="center" vertical="center"/>
    </xf>
    <xf numFmtId="0" fontId="2" fillId="19" borderId="75" xfId="0" applyFont="1" applyFill="1" applyBorder="1" applyAlignment="1">
      <alignment horizontal="center" vertical="center"/>
    </xf>
    <xf numFmtId="0" fontId="24" fillId="14" borderId="20" xfId="0" applyFont="1" applyFill="1" applyBorder="1" applyAlignment="1">
      <alignment horizontal="left"/>
    </xf>
    <xf numFmtId="0" fontId="24" fillId="19" borderId="20" xfId="0" applyFont="1" applyFill="1" applyBorder="1" applyAlignment="1">
      <alignment horizontal="left"/>
    </xf>
    <xf numFmtId="0" fontId="16" fillId="13" borderId="0" xfId="0" applyFont="1" applyFill="1" applyAlignment="1">
      <alignment horizontal="left" vertical="center"/>
    </xf>
    <xf numFmtId="0" fontId="68" fillId="32" borderId="0" xfId="0" applyFont="1" applyFill="1" applyAlignment="1">
      <alignment horizontal="left"/>
    </xf>
    <xf numFmtId="0" fontId="49" fillId="18" borderId="20" xfId="0" applyFont="1" applyFill="1" applyBorder="1" applyAlignment="1">
      <alignment horizontal="center" vertical="center"/>
    </xf>
    <xf numFmtId="0" fontId="48" fillId="14" borderId="20" xfId="0" applyFont="1" applyFill="1" applyBorder="1" applyAlignment="1">
      <alignment horizontal="center" vertical="center"/>
    </xf>
    <xf numFmtId="165" fontId="48" fillId="14" borderId="20" xfId="0" applyNumberFormat="1" applyFont="1" applyFill="1" applyBorder="1" applyAlignment="1">
      <alignment horizontal="center" vertical="center"/>
    </xf>
    <xf numFmtId="0" fontId="56" fillId="19" borderId="20" xfId="0" applyFont="1" applyFill="1" applyBorder="1" applyAlignment="1">
      <alignment horizontal="center" vertical="center"/>
    </xf>
    <xf numFmtId="165" fontId="56" fillId="19" borderId="20" xfId="0" applyNumberFormat="1" applyFont="1" applyFill="1" applyBorder="1" applyAlignment="1">
      <alignment horizontal="center" vertical="center"/>
    </xf>
    <xf numFmtId="0" fontId="48" fillId="14" borderId="20" xfId="0" applyFont="1" applyFill="1" applyBorder="1" applyAlignment="1">
      <alignment horizontal="left" vertical="center"/>
    </xf>
    <xf numFmtId="0" fontId="56" fillId="19" borderId="20" xfId="0" applyFont="1" applyFill="1" applyBorder="1" applyAlignment="1">
      <alignment horizontal="left" vertical="center"/>
    </xf>
    <xf numFmtId="0" fontId="56" fillId="14" borderId="20" xfId="0" applyFont="1" applyFill="1" applyBorder="1" applyAlignment="1">
      <alignment horizontal="left" vertical="center"/>
    </xf>
    <xf numFmtId="0" fontId="48" fillId="19" borderId="20" xfId="0" applyFont="1" applyFill="1" applyBorder="1" applyAlignment="1">
      <alignment horizontal="left"/>
    </xf>
    <xf numFmtId="0" fontId="48" fillId="14" borderId="20" xfId="0" applyFont="1" applyFill="1" applyBorder="1" applyAlignment="1">
      <alignment horizontal="left"/>
    </xf>
    <xf numFmtId="0" fontId="49" fillId="18" borderId="0" xfId="0" applyFont="1" applyFill="1" applyAlignment="1">
      <alignment horizontal="left"/>
    </xf>
    <xf numFmtId="0" fontId="50" fillId="29" borderId="0" xfId="0" applyFont="1" applyFill="1" applyAlignment="1">
      <alignment horizontal="left" wrapText="1"/>
    </xf>
    <xf numFmtId="0" fontId="49" fillId="13" borderId="0" xfId="0" applyFont="1" applyFill="1" applyAlignment="1">
      <alignment horizontal="left"/>
    </xf>
    <xf numFmtId="0" fontId="49" fillId="13" borderId="113" xfId="0" applyFont="1" applyFill="1" applyBorder="1" applyAlignment="1">
      <alignment horizontal="left"/>
    </xf>
    <xf numFmtId="0" fontId="49" fillId="13" borderId="114" xfId="0" applyFont="1" applyFill="1" applyBorder="1" applyAlignment="1">
      <alignment horizontal="left"/>
    </xf>
    <xf numFmtId="0" fontId="49" fillId="13" borderId="115" xfId="0" applyFont="1" applyFill="1" applyBorder="1" applyAlignment="1">
      <alignment horizontal="left"/>
    </xf>
    <xf numFmtId="0" fontId="56" fillId="19" borderId="116" xfId="0" applyFont="1" applyFill="1" applyBorder="1" applyAlignment="1">
      <alignment horizontal="left"/>
    </xf>
    <xf numFmtId="0" fontId="48" fillId="19" borderId="117" xfId="0" applyFont="1" applyFill="1" applyBorder="1"/>
    <xf numFmtId="0" fontId="56" fillId="19" borderId="117" xfId="0" applyFont="1" applyFill="1" applyBorder="1"/>
    <xf numFmtId="0" fontId="48" fillId="19" borderId="118" xfId="0" applyFont="1" applyFill="1" applyBorder="1"/>
    <xf numFmtId="0" fontId="56" fillId="14" borderId="116" xfId="0" applyFont="1" applyFill="1" applyBorder="1" applyAlignment="1">
      <alignment horizontal="left"/>
    </xf>
    <xf numFmtId="0" fontId="48" fillId="14" borderId="117" xfId="0" applyFont="1" applyFill="1" applyBorder="1"/>
    <xf numFmtId="0" fontId="56" fillId="14" borderId="117" xfId="0" applyFont="1" applyFill="1" applyBorder="1"/>
    <xf numFmtId="0" fontId="48" fillId="14" borderId="118" xfId="0" applyFont="1" applyFill="1" applyBorder="1"/>
    <xf numFmtId="0" fontId="56" fillId="21" borderId="119" xfId="0" applyFont="1" applyFill="1" applyBorder="1" applyAlignment="1">
      <alignment horizontal="left"/>
    </xf>
    <xf numFmtId="0" fontId="56" fillId="21" borderId="120" xfId="0" applyFont="1" applyFill="1" applyBorder="1"/>
    <xf numFmtId="0" fontId="56" fillId="21" borderId="121" xfId="0" applyFont="1" applyFill="1" applyBorder="1"/>
    <xf numFmtId="0" fontId="39" fillId="15" borderId="20" xfId="0" applyFont="1" applyFill="1" applyBorder="1" applyAlignment="1">
      <alignment horizontal="left"/>
    </xf>
    <xf numFmtId="0" fontId="18" fillId="19" borderId="20" xfId="0" applyFont="1" applyFill="1" applyBorder="1" applyAlignment="1">
      <alignment horizontal="center"/>
    </xf>
    <xf numFmtId="0" fontId="18" fillId="14" borderId="20" xfId="0" applyFont="1" applyFill="1" applyBorder="1" applyAlignment="1">
      <alignment horizontal="center"/>
    </xf>
    <xf numFmtId="165" fontId="48" fillId="19" borderId="20" xfId="0" applyNumberFormat="1" applyFont="1" applyFill="1" applyBorder="1" applyAlignment="1">
      <alignment horizontal="center" vertical="center"/>
    </xf>
    <xf numFmtId="0" fontId="48" fillId="19" borderId="20" xfId="0" applyFont="1" applyFill="1" applyBorder="1" applyAlignment="1">
      <alignment horizontal="center" vertical="center"/>
    </xf>
    <xf numFmtId="0" fontId="48" fillId="19" borderId="20" xfId="0" applyFont="1" applyFill="1" applyBorder="1" applyAlignment="1">
      <alignment horizontal="left" vertical="center"/>
    </xf>
    <xf numFmtId="0" fontId="18" fillId="14" borderId="0" xfId="0" applyFont="1" applyFill="1" applyBorder="1" applyAlignment="1">
      <alignment horizontal="center"/>
    </xf>
    <xf numFmtId="0" fontId="24" fillId="14" borderId="0" xfId="0" applyFont="1" applyFill="1" applyBorder="1" applyAlignment="1">
      <alignment horizontal="left"/>
    </xf>
    <xf numFmtId="0" fontId="48" fillId="14" borderId="0" xfId="0" applyFont="1" applyFill="1" applyBorder="1" applyAlignment="1">
      <alignment horizontal="left"/>
    </xf>
  </cellXfs>
  <cellStyles count="1">
    <cellStyle name="Normal" xfId="0" builtinId="0"/>
  </cellStyles>
  <dxfs count="5">
    <dxf>
      <font>
        <color rgb="FFE65100"/>
      </font>
      <fill>
        <patternFill patternType="solid">
          <fgColor indexed="64"/>
          <bgColor rgb="FFFFF3E0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showGridLines="0" tabSelected="1" zoomScale="90" workbookViewId="0">
      <pane ySplit="5" topLeftCell="A6" activePane="bottomLeft" state="frozen"/>
      <selection pane="bottomLeft" activeCell="B2" sqref="B2:N2"/>
    </sheetView>
  </sheetViews>
  <sheetFormatPr defaultRowHeight="21" x14ac:dyDescent="0.35"/>
  <cols>
    <col min="1" max="1" width="2.85546875" style="4" customWidth="1"/>
    <col min="2" max="2" width="33.85546875" style="4" customWidth="1"/>
    <col min="3" max="3" width="11.42578125" style="4" customWidth="1"/>
    <col min="4" max="4" width="21.7109375" style="4" bestFit="1" customWidth="1"/>
    <col min="5" max="5" width="18.140625" style="4" bestFit="1" customWidth="1"/>
    <col min="6" max="6" width="16.28515625" style="4" bestFit="1" customWidth="1"/>
    <col min="7" max="7" width="28.7109375" style="4" bestFit="1" customWidth="1"/>
    <col min="8" max="14" width="19" style="4" customWidth="1"/>
    <col min="15" max="15" width="2.85546875" style="4" customWidth="1"/>
    <col min="16" max="16384" width="9.140625" style="4"/>
  </cols>
  <sheetData>
    <row r="1" spans="1:15" x14ac:dyDescent="0.35">
      <c r="A1" s="121"/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</row>
    <row r="2" spans="1:15" ht="26.25" x14ac:dyDescent="0.35">
      <c r="A2" s="121"/>
      <c r="B2" s="128" t="s">
        <v>0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1"/>
    </row>
    <row r="3" spans="1:15" x14ac:dyDescent="0.35">
      <c r="A3" s="121"/>
      <c r="B3" s="130" t="str">
        <f ca="1">"Project: "&amp;'⚙️ Config'!C5&amp;"   |   Release: "&amp;'⚙️ Config'!C6&amp;"   |   QA Lead: "&amp;'⚙️ Config'!C7&amp;"   |   Est. Date: "&amp;TEXT(TODAY(),"MMM DD, YYYY")</f>
        <v>Project: Phoenix Platform Modernization   |   Release: Release 3.0   |   QA Lead: Jane Smith   |   Est. Date: May 27, 2026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21"/>
    </row>
    <row r="4" spans="1:15" ht="21.75" thickBot="1" x14ac:dyDescent="0.4">
      <c r="A4" s="121"/>
      <c r="B4" s="131" t="s">
        <v>581</v>
      </c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21"/>
    </row>
    <row r="5" spans="1:15" ht="21.75" thickTop="1" x14ac:dyDescent="0.35">
      <c r="A5" s="121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1"/>
    </row>
    <row r="6" spans="1:15" x14ac:dyDescent="0.35">
      <c r="A6" s="121"/>
      <c r="B6" s="482" t="s">
        <v>1</v>
      </c>
      <c r="C6" s="482"/>
      <c r="D6" s="482"/>
      <c r="E6" s="482"/>
      <c r="F6" s="482"/>
      <c r="G6" s="482"/>
      <c r="H6"/>
      <c r="I6" s="482" t="s">
        <v>2</v>
      </c>
      <c r="J6" s="482"/>
      <c r="K6" s="482"/>
      <c r="L6" s="482"/>
      <c r="M6" s="482"/>
      <c r="N6" s="482"/>
      <c r="O6" s="121"/>
    </row>
    <row r="7" spans="1:15" ht="23.25" x14ac:dyDescent="0.35">
      <c r="A7" s="121"/>
      <c r="B7" s="483">
        <f>'💰 Budget Planner'!J27+'💰 Budget Planner'!J28</f>
        <v>407680.35</v>
      </c>
      <c r="C7" s="484"/>
      <c r="D7" s="484"/>
      <c r="E7" s="484"/>
      <c r="F7" s="484"/>
      <c r="G7" s="484"/>
      <c r="H7"/>
      <c r="I7" s="485">
        <f>'⚙️ Config'!C12</f>
        <v>6</v>
      </c>
      <c r="J7" s="485"/>
      <c r="K7" s="485"/>
      <c r="L7" s="485"/>
      <c r="M7" s="485"/>
      <c r="N7" s="485"/>
      <c r="O7" s="121"/>
    </row>
    <row r="8" spans="1:15" x14ac:dyDescent="0.35">
      <c r="A8" s="121"/>
      <c r="B8"/>
      <c r="C8"/>
      <c r="D8"/>
      <c r="E8"/>
      <c r="F8"/>
      <c r="G8"/>
      <c r="H8"/>
      <c r="I8"/>
      <c r="J8"/>
      <c r="K8"/>
      <c r="L8"/>
      <c r="M8"/>
      <c r="N8"/>
      <c r="O8" s="121"/>
    </row>
    <row r="9" spans="1:15" x14ac:dyDescent="0.35">
      <c r="A9" s="121"/>
      <c r="B9" s="482" t="s">
        <v>3</v>
      </c>
      <c r="C9" s="482"/>
      <c r="D9" s="482"/>
      <c r="E9" s="482"/>
      <c r="F9" s="482"/>
      <c r="G9" s="482"/>
      <c r="H9"/>
      <c r="I9" s="482" t="s">
        <v>4</v>
      </c>
      <c r="J9" s="482"/>
      <c r="K9" s="482"/>
      <c r="L9" s="482"/>
      <c r="M9" s="482"/>
      <c r="N9" s="482"/>
      <c r="O9" s="121"/>
    </row>
    <row r="10" spans="1:15" ht="23.25" x14ac:dyDescent="0.35">
      <c r="A10" s="121"/>
      <c r="B10" s="486">
        <f>'⚙️ Config'!C14</f>
        <v>17.3</v>
      </c>
      <c r="C10" s="487"/>
      <c r="D10" s="487"/>
      <c r="E10" s="487"/>
      <c r="F10" s="487"/>
      <c r="G10" s="487"/>
      <c r="H10"/>
      <c r="I10" s="488">
        <f>'📝 Test Planning'!C15</f>
        <v>74</v>
      </c>
      <c r="J10" s="487"/>
      <c r="K10" s="487"/>
      <c r="L10" s="487"/>
      <c r="M10" s="487"/>
      <c r="N10" s="487"/>
      <c r="O10" s="121"/>
    </row>
    <row r="11" spans="1:15" ht="23.25" x14ac:dyDescent="0.35">
      <c r="A11" s="121"/>
      <c r="B11" s="122"/>
      <c r="C11" s="122"/>
      <c r="D11" s="462"/>
      <c r="E11" s="462"/>
      <c r="F11" s="462"/>
      <c r="G11" s="462"/>
      <c r="H11"/>
      <c r="I11" s="463"/>
      <c r="J11" s="462"/>
      <c r="K11" s="122"/>
      <c r="L11" s="122"/>
      <c r="M11" s="122"/>
      <c r="N11" s="122"/>
      <c r="O11" s="121"/>
    </row>
    <row r="12" spans="1:15" ht="27.95" customHeight="1" x14ac:dyDescent="0.35">
      <c r="A12" s="121"/>
      <c r="B12" s="122"/>
      <c r="C12" s="122"/>
      <c r="D12" s="464" t="s">
        <v>5</v>
      </c>
      <c r="E12" s="464"/>
      <c r="F12" s="464"/>
      <c r="G12" s="464"/>
      <c r="H12" s="464"/>
      <c r="I12" s="464"/>
      <c r="J12" s="464"/>
      <c r="K12" s="122"/>
      <c r="L12" s="122"/>
      <c r="M12" s="122"/>
      <c r="N12" s="122"/>
      <c r="O12" s="121"/>
    </row>
    <row r="13" spans="1:15" ht="24" customHeight="1" x14ac:dyDescent="0.35">
      <c r="A13" s="121"/>
      <c r="B13" s="122"/>
      <c r="C13" s="122"/>
      <c r="D13" s="465" t="s">
        <v>6</v>
      </c>
      <c r="E13" s="465" t="s">
        <v>7</v>
      </c>
      <c r="F13" s="465" t="s">
        <v>8</v>
      </c>
      <c r="G13" s="465" t="s">
        <v>9</v>
      </c>
      <c r="H13" s="465" t="s">
        <v>580</v>
      </c>
      <c r="I13" s="466" t="s">
        <v>10</v>
      </c>
      <c r="J13" s="466" t="s">
        <v>11</v>
      </c>
      <c r="K13" s="122"/>
      <c r="L13" s="122"/>
      <c r="M13" s="122"/>
      <c r="N13" s="122"/>
      <c r="O13" s="121"/>
    </row>
    <row r="14" spans="1:15" ht="21.95" customHeight="1" x14ac:dyDescent="0.35">
      <c r="A14" s="121"/>
      <c r="B14" s="122"/>
      <c r="C14" s="122"/>
      <c r="D14" s="467" t="s">
        <v>579</v>
      </c>
      <c r="E14" s="468">
        <f>'📊 PERT Estimation'!E29</f>
        <v>229</v>
      </c>
      <c r="F14" s="468">
        <f>'📊 PERT Estimation'!F29</f>
        <v>398</v>
      </c>
      <c r="G14" s="468">
        <f>'📊 PERT Estimation'!G29</f>
        <v>634</v>
      </c>
      <c r="H14" s="468">
        <f>'📊 PERT Estimation'!H29</f>
        <v>409.16666666666674</v>
      </c>
      <c r="I14" s="469">
        <f>'📊 PERT Estimation'!I29</f>
        <v>16.380035273330627</v>
      </c>
      <c r="J14" s="470" t="str">
        <f>TEXT('📊 PERT Estimation'!J29,"0.0")&amp;" – "&amp;TEXT('📊 PERT Estimation'!K29,"0.0")</f>
        <v>377.1 – 441.3</v>
      </c>
      <c r="K14" s="122"/>
      <c r="L14" s="122"/>
      <c r="M14" s="122"/>
      <c r="N14" s="122"/>
      <c r="O14" s="121"/>
    </row>
    <row r="15" spans="1:15" ht="21.95" customHeight="1" x14ac:dyDescent="0.35">
      <c r="A15" s="121"/>
      <c r="B15" s="122"/>
      <c r="C15" s="122"/>
      <c r="D15" s="471" t="s">
        <v>574</v>
      </c>
      <c r="E15" s="472">
        <f>'🔺 Three-Point'!E28</f>
        <v>229</v>
      </c>
      <c r="F15" s="472">
        <f>'🔺 Three-Point'!F28</f>
        <v>398</v>
      </c>
      <c r="G15" s="472">
        <f>'🔺 Three-Point'!G28</f>
        <v>634</v>
      </c>
      <c r="H15" s="472">
        <f>'🔺 Three-Point'!H28</f>
        <v>420.33333333333326</v>
      </c>
      <c r="I15" s="473">
        <f>'🔺 Three-Point'!I28</f>
        <v>16.3</v>
      </c>
      <c r="J15" s="474" t="str">
        <f>TEXT('🔺 Three-Point'!H28-1.96*'🔺 Three-Point'!I28,"0.0")&amp;" – "&amp;TEXT('🔺 Three-Point'!H28+1.96*'🔺 Three-Point'!I28,"0.0")</f>
        <v>388.4 – 452.3</v>
      </c>
      <c r="K15" s="122"/>
      <c r="L15" s="122"/>
      <c r="M15" s="122"/>
      <c r="N15" s="122"/>
      <c r="O15" s="121"/>
    </row>
    <row r="16" spans="1:15" ht="21.95" customHeight="1" x14ac:dyDescent="0.35">
      <c r="A16" s="121"/>
      <c r="B16" s="122"/>
      <c r="C16" s="122"/>
      <c r="D16" s="475" t="s">
        <v>12</v>
      </c>
      <c r="E16" s="476" t="s">
        <v>13</v>
      </c>
      <c r="F16" s="477">
        <f>'🃏 Story Points'!F24</f>
        <v>372.5</v>
      </c>
      <c r="G16" s="476" t="s">
        <v>13</v>
      </c>
      <c r="H16" s="477">
        <f>'🃏 Story Points'!F24</f>
        <v>372.5</v>
      </c>
      <c r="I16" s="478" t="s">
        <v>13</v>
      </c>
      <c r="J16" s="470" t="s">
        <v>300</v>
      </c>
      <c r="K16" s="122"/>
      <c r="L16" s="122"/>
      <c r="M16" s="122"/>
      <c r="N16" s="122"/>
      <c r="O16" s="121"/>
    </row>
    <row r="17" spans="1:15" ht="21.95" customHeight="1" x14ac:dyDescent="0.35">
      <c r="A17" s="121"/>
      <c r="B17" s="122"/>
      <c r="C17" s="122"/>
      <c r="D17" s="471" t="s">
        <v>14</v>
      </c>
      <c r="E17" s="479" t="s">
        <v>13</v>
      </c>
      <c r="F17" s="472">
        <f>'🔍 Analogy'!E14</f>
        <v>322</v>
      </c>
      <c r="G17" s="479" t="s">
        <v>13</v>
      </c>
      <c r="H17" s="472">
        <f>'🔍 Analogy'!E14</f>
        <v>322</v>
      </c>
      <c r="I17" s="480" t="s">
        <v>13</v>
      </c>
      <c r="J17" s="474" t="s">
        <v>301</v>
      </c>
      <c r="K17" s="122"/>
      <c r="L17" s="122"/>
      <c r="M17" s="122"/>
      <c r="N17" s="122"/>
      <c r="O17" s="121"/>
    </row>
    <row r="18" spans="1:15" ht="21.95" customHeight="1" x14ac:dyDescent="0.35">
      <c r="A18" s="121"/>
      <c r="B18" s="122"/>
      <c r="C18" s="122"/>
      <c r="D18" s="467" t="s">
        <v>15</v>
      </c>
      <c r="E18" s="481" t="s">
        <v>13</v>
      </c>
      <c r="F18" s="468">
        <f>'📐 UCP'!C34</f>
        <v>396.9</v>
      </c>
      <c r="G18" s="481" t="s">
        <v>13</v>
      </c>
      <c r="H18" s="468">
        <f>'📐 UCP'!C34</f>
        <v>396.9</v>
      </c>
      <c r="I18" s="478" t="s">
        <v>13</v>
      </c>
      <c r="J18" s="470" t="s">
        <v>301</v>
      </c>
      <c r="K18" s="122"/>
      <c r="L18" s="122"/>
      <c r="M18" s="122"/>
      <c r="N18" s="122"/>
      <c r="O18" s="121"/>
    </row>
    <row r="19" spans="1:15" ht="21.75" thickBot="1" x14ac:dyDescent="0.4">
      <c r="A19" s="121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1"/>
    </row>
    <row r="20" spans="1:15" ht="27.95" customHeight="1" x14ac:dyDescent="0.35">
      <c r="A20" s="121"/>
      <c r="B20" s="425" t="s">
        <v>16</v>
      </c>
      <c r="C20" s="426"/>
      <c r="D20" s="426"/>
      <c r="E20" s="426"/>
      <c r="F20" s="426"/>
      <c r="G20" s="427"/>
      <c r="H20" s="122"/>
      <c r="I20" s="416" t="s">
        <v>17</v>
      </c>
      <c r="J20" s="405"/>
      <c r="K20" s="405"/>
      <c r="L20" s="405"/>
      <c r="M20" s="405"/>
      <c r="N20" s="409"/>
      <c r="O20" s="121"/>
    </row>
    <row r="21" spans="1:15" ht="35.1" customHeight="1" x14ac:dyDescent="0.35">
      <c r="A21" s="121"/>
      <c r="B21" s="428" t="s">
        <v>18</v>
      </c>
      <c r="C21" s="429" t="s">
        <v>19</v>
      </c>
      <c r="D21" s="429" t="s">
        <v>588</v>
      </c>
      <c r="E21" s="429" t="s">
        <v>20</v>
      </c>
      <c r="F21" s="429" t="s">
        <v>21</v>
      </c>
      <c r="G21" s="430" t="s">
        <v>22</v>
      </c>
      <c r="H21" s="122"/>
      <c r="I21" s="417" t="str">
        <f>ROUND(AVERAGE('📊 PERT Estimation'!H29,'🔺 Three-Point'!H28),1)&amp;" hrs"</f>
        <v>414.8 hrs</v>
      </c>
      <c r="J21" s="400"/>
      <c r="K21" s="400"/>
      <c r="L21" s="400"/>
      <c r="M21" s="400"/>
      <c r="N21" s="410"/>
      <c r="O21" s="121"/>
    </row>
    <row r="22" spans="1:15" x14ac:dyDescent="0.35">
      <c r="A22" s="121"/>
      <c r="B22" s="431" t="s">
        <v>23</v>
      </c>
      <c r="C22" s="432" t="s">
        <v>24</v>
      </c>
      <c r="D22" s="441">
        <v>0.1</v>
      </c>
      <c r="E22" s="433">
        <f>ROUND(AVERAGE('📊 PERT Estimation'!H29,'🔺 Three-Point'!H28)*0.1,0)</f>
        <v>41</v>
      </c>
      <c r="F22" s="434">
        <v>0.6</v>
      </c>
      <c r="G22" s="435">
        <f>ROUND(E22*F22,1)</f>
        <v>24.6</v>
      </c>
      <c r="H22" s="122"/>
      <c r="I22" s="417"/>
      <c r="J22" s="400"/>
      <c r="K22" s="400"/>
      <c r="L22" s="400"/>
      <c r="M22" s="400"/>
      <c r="N22" s="410"/>
      <c r="O22" s="121"/>
    </row>
    <row r="23" spans="1:15" x14ac:dyDescent="0.35">
      <c r="A23" s="121"/>
      <c r="B23" s="436" t="s">
        <v>25</v>
      </c>
      <c r="C23" s="437" t="s">
        <v>26</v>
      </c>
      <c r="D23" s="459">
        <v>0.05</v>
      </c>
      <c r="E23" s="438">
        <f>ROUND(AVERAGE('📊 PERT Estimation'!H29,'🔺 Three-Point'!H28)*0.05,0)</f>
        <v>21</v>
      </c>
      <c r="F23" s="439">
        <v>0.4</v>
      </c>
      <c r="G23" s="440">
        <f>ROUND(E23*F23,1)</f>
        <v>8.4</v>
      </c>
      <c r="H23" s="122"/>
      <c r="I23" s="418"/>
      <c r="J23" s="401"/>
      <c r="K23" s="401"/>
      <c r="L23" s="401"/>
      <c r="M23" s="401"/>
      <c r="N23" s="411"/>
      <c r="O23" s="121"/>
    </row>
    <row r="24" spans="1:15" ht="21.95" customHeight="1" x14ac:dyDescent="0.35">
      <c r="A24" s="121"/>
      <c r="B24" s="431" t="s">
        <v>27</v>
      </c>
      <c r="C24" s="432" t="s">
        <v>26</v>
      </c>
      <c r="D24" s="441">
        <v>0.04</v>
      </c>
      <c r="E24" s="433">
        <f>ROUND(AVERAGE('📊 PERT Estimation'!H29,'🔺 Three-Point'!H28)*0.04,0)</f>
        <v>17</v>
      </c>
      <c r="F24" s="434">
        <v>0.3</v>
      </c>
      <c r="G24" s="435">
        <f>ROUND(E24*F24,1)</f>
        <v>5.0999999999999996</v>
      </c>
      <c r="H24" s="122"/>
      <c r="I24" s="419" t="s">
        <v>582</v>
      </c>
      <c r="J24" s="402"/>
      <c r="K24" s="402"/>
      <c r="L24" s="402"/>
      <c r="M24" s="402"/>
      <c r="N24" s="412"/>
      <c r="O24" s="121"/>
    </row>
    <row r="25" spans="1:15" ht="18" customHeight="1" x14ac:dyDescent="0.35">
      <c r="A25" s="121"/>
      <c r="B25" s="436" t="s">
        <v>28</v>
      </c>
      <c r="C25" s="437" t="s">
        <v>24</v>
      </c>
      <c r="D25" s="459">
        <v>0.06</v>
      </c>
      <c r="E25" s="438">
        <f>ROUND(AVERAGE('📊 PERT Estimation'!H29,'🔺 Three-Point'!H28)*0.06,0)</f>
        <v>25</v>
      </c>
      <c r="F25" s="439">
        <v>0.5</v>
      </c>
      <c r="G25" s="440">
        <f>ROUND(E25*F25,1)</f>
        <v>12.5</v>
      </c>
      <c r="H25" s="122"/>
      <c r="I25" s="420" t="s">
        <v>583</v>
      </c>
      <c r="J25" s="398"/>
      <c r="K25" s="398"/>
      <c r="L25" s="398"/>
      <c r="M25" s="398"/>
      <c r="N25" s="413"/>
      <c r="O25" s="121"/>
    </row>
    <row r="26" spans="1:15" ht="18" customHeight="1" x14ac:dyDescent="0.35">
      <c r="A26" s="121"/>
      <c r="B26" s="431" t="s">
        <v>29</v>
      </c>
      <c r="C26" s="432" t="s">
        <v>30</v>
      </c>
      <c r="D26" s="441">
        <v>0.03</v>
      </c>
      <c r="E26" s="433">
        <f>ROUND(AVERAGE('📊 PERT Estimation'!H29,'🔺 Three-Point'!H28)*0.03,0)</f>
        <v>12</v>
      </c>
      <c r="F26" s="434">
        <v>0.2</v>
      </c>
      <c r="G26" s="435">
        <f>ROUND(E26*F26,1)</f>
        <v>2.4</v>
      </c>
      <c r="H26" s="122"/>
      <c r="I26" s="420" t="s">
        <v>584</v>
      </c>
      <c r="J26" s="398"/>
      <c r="K26" s="398"/>
      <c r="L26" s="398"/>
      <c r="M26" s="398"/>
      <c r="N26" s="413"/>
      <c r="O26" s="121"/>
    </row>
    <row r="27" spans="1:15" ht="18" customHeight="1" x14ac:dyDescent="0.35">
      <c r="A27" s="121"/>
      <c r="B27" s="436" t="s">
        <v>31</v>
      </c>
      <c r="C27" s="437" t="s">
        <v>26</v>
      </c>
      <c r="D27" s="459">
        <v>0.05</v>
      </c>
      <c r="E27" s="438">
        <f>ROUND(AVERAGE('📊 PERT Estimation'!H29,'🔺 Three-Point'!H28)*0.05,0)</f>
        <v>21</v>
      </c>
      <c r="F27" s="439">
        <v>0.3</v>
      </c>
      <c r="G27" s="440">
        <f>ROUND(E27*F27,1)</f>
        <v>6.3</v>
      </c>
      <c r="H27" s="122"/>
      <c r="I27" s="420" t="s">
        <v>585</v>
      </c>
      <c r="J27" s="398"/>
      <c r="K27" s="398"/>
      <c r="L27" s="398"/>
      <c r="M27" s="398"/>
      <c r="N27" s="413"/>
      <c r="O27" s="121"/>
    </row>
    <row r="28" spans="1:15" ht="18" customHeight="1" x14ac:dyDescent="0.35">
      <c r="A28" s="121"/>
      <c r="B28" s="431" t="s">
        <v>32</v>
      </c>
      <c r="C28" s="432" t="s">
        <v>24</v>
      </c>
      <c r="D28" s="441">
        <v>7.0000000000000007E-2</v>
      </c>
      <c r="E28" s="433">
        <f>ROUND(AVERAGE('📊 PERT Estimation'!H29,'🔺 Three-Point'!H28)*0.07,0)</f>
        <v>29</v>
      </c>
      <c r="F28" s="434">
        <v>0.5</v>
      </c>
      <c r="G28" s="435">
        <f>ROUND(E28*F28,1)</f>
        <v>14.5</v>
      </c>
      <c r="H28" s="122"/>
      <c r="I28" s="420" t="s">
        <v>586</v>
      </c>
      <c r="J28" s="398"/>
      <c r="K28" s="398"/>
      <c r="L28" s="398"/>
      <c r="M28" s="398"/>
      <c r="N28" s="413"/>
      <c r="O28" s="121"/>
    </row>
    <row r="29" spans="1:15" ht="24" customHeight="1" thickBot="1" x14ac:dyDescent="0.4">
      <c r="A29" s="121"/>
      <c r="B29" s="423" t="s">
        <v>33</v>
      </c>
      <c r="C29" s="424"/>
      <c r="D29" s="424"/>
      <c r="E29" s="424"/>
      <c r="F29" s="461"/>
      <c r="G29" s="460">
        <f>ROUND(SUM(G22:G28),1)</f>
        <v>73.8</v>
      </c>
      <c r="H29" s="122"/>
      <c r="I29" s="421" t="str">
        <f>"⚠️ + Risk Buffer ("&amp;G29&amp;" hrs):"</f>
        <v>⚠️ + Risk Buffer (73.8 hrs):</v>
      </c>
      <c r="J29" s="403"/>
      <c r="K29" s="403"/>
      <c r="L29" s="404" t="str">
        <f>ROUND(AVERAGE('📊 PERT Estimation'!H29,'🔺 Three-Point'!H28)+G29,1)&amp;" hrs"</f>
        <v>488.6 hrs</v>
      </c>
      <c r="M29" s="404"/>
      <c r="N29" s="414"/>
      <c r="O29" s="121"/>
    </row>
    <row r="30" spans="1:15" ht="24" customHeight="1" thickBot="1" x14ac:dyDescent="0.4">
      <c r="A30" s="121"/>
      <c r="B30" s="122"/>
      <c r="C30" s="122"/>
      <c r="D30" s="122"/>
      <c r="E30" s="122"/>
      <c r="F30" s="122"/>
      <c r="G30" s="122"/>
      <c r="H30" s="122"/>
      <c r="I30" s="422" t="s">
        <v>587</v>
      </c>
      <c r="J30" s="406"/>
      <c r="K30" s="406"/>
      <c r="L30" s="407">
        <f>'💰 Budget Planner'!J27+'💰 Budget Planner'!J28</f>
        <v>407680.35</v>
      </c>
      <c r="M30" s="408"/>
      <c r="N30" s="415"/>
      <c r="O30" s="121"/>
    </row>
    <row r="31" spans="1:15" ht="24" customHeight="1" x14ac:dyDescent="0.35">
      <c r="A31" s="121"/>
      <c r="B31" s="122"/>
      <c r="C31" s="122"/>
      <c r="D31" s="122"/>
      <c r="E31" s="122"/>
      <c r="F31" s="122"/>
      <c r="G31" s="122"/>
      <c r="H31" s="122"/>
      <c r="I31" s="121"/>
      <c r="J31" s="121"/>
      <c r="K31" s="121"/>
      <c r="L31" s="121"/>
      <c r="M31" s="121"/>
      <c r="N31" s="121"/>
      <c r="O31" s="121"/>
    </row>
    <row r="32" spans="1:15" x14ac:dyDescent="0.35">
      <c r="A32" s="121"/>
      <c r="B32" s="447" t="s">
        <v>589</v>
      </c>
      <c r="C32" s="445"/>
      <c r="D32" s="445"/>
      <c r="E32" s="445"/>
      <c r="F32" s="445"/>
      <c r="G32" s="455"/>
      <c r="H32" s="121"/>
      <c r="I32" s="121"/>
      <c r="J32" s="121"/>
      <c r="K32" s="121"/>
      <c r="L32" s="121"/>
      <c r="M32" s="121"/>
      <c r="N32" s="121"/>
      <c r="O32" s="121"/>
    </row>
    <row r="33" spans="1:15" x14ac:dyDescent="0.35">
      <c r="A33" s="121"/>
      <c r="B33" s="448" t="str">
        <f>"Formula: Impact (hrs) = Recommended Estimate ("&amp;ROUND(AVERAGE('📊 PERT Estimation'!H29,'🔺 Three-Point'!H28),1)&amp;" hrs) × % of Base"</f>
        <v>Formula: Impact (hrs) = Recommended Estimate (414.8 hrs) × % of Base</v>
      </c>
      <c r="C33" s="221"/>
      <c r="D33" s="221"/>
      <c r="E33" s="221"/>
      <c r="F33" s="221"/>
      <c r="G33" s="456"/>
      <c r="H33" s="121"/>
      <c r="I33" s="121"/>
      <c r="J33" s="121"/>
      <c r="K33" s="121"/>
      <c r="L33" s="121"/>
      <c r="M33" s="121"/>
      <c r="N33" s="121"/>
      <c r="O33" s="121"/>
    </row>
    <row r="34" spans="1:15" x14ac:dyDescent="0.35">
      <c r="B34" s="449"/>
      <c r="C34" s="442"/>
      <c r="D34" s="442"/>
      <c r="E34" s="442"/>
      <c r="F34" s="442"/>
      <c r="G34" s="457"/>
    </row>
    <row r="35" spans="1:15" x14ac:dyDescent="0.35">
      <c r="B35" s="450" t="s">
        <v>590</v>
      </c>
      <c r="C35" s="221"/>
      <c r="D35" s="221"/>
      <c r="E35" s="221"/>
      <c r="F35" s="221"/>
      <c r="G35" s="456"/>
    </row>
    <row r="36" spans="1:15" x14ac:dyDescent="0.35">
      <c r="B36" s="451" t="s">
        <v>591</v>
      </c>
      <c r="C36" s="443" t="s">
        <v>592</v>
      </c>
      <c r="D36" s="221"/>
      <c r="E36" s="221"/>
      <c r="F36" s="221"/>
      <c r="G36" s="456"/>
    </row>
    <row r="37" spans="1:15" x14ac:dyDescent="0.35">
      <c r="B37" s="452" t="s">
        <v>301</v>
      </c>
      <c r="C37" s="444" t="s">
        <v>593</v>
      </c>
      <c r="D37" s="221"/>
      <c r="E37" s="221"/>
      <c r="F37" s="221"/>
      <c r="G37" s="456"/>
    </row>
    <row r="38" spans="1:15" x14ac:dyDescent="0.35">
      <c r="B38" s="453" t="s">
        <v>594</v>
      </c>
      <c r="C38" s="284" t="s">
        <v>595</v>
      </c>
      <c r="D38" s="221"/>
      <c r="E38" s="221"/>
      <c r="F38" s="221"/>
      <c r="G38" s="456"/>
    </row>
    <row r="39" spans="1:15" x14ac:dyDescent="0.35">
      <c r="B39" s="449"/>
      <c r="C39" s="442"/>
      <c r="D39" s="442"/>
      <c r="E39" s="442"/>
      <c r="F39" s="442"/>
      <c r="G39" s="457"/>
    </row>
    <row r="40" spans="1:15" x14ac:dyDescent="0.35">
      <c r="B40" s="450" t="s">
        <v>596</v>
      </c>
      <c r="C40" s="221"/>
      <c r="D40" s="221"/>
      <c r="E40" s="221"/>
      <c r="F40" s="221"/>
      <c r="G40" s="456"/>
    </row>
    <row r="41" spans="1:15" x14ac:dyDescent="0.35">
      <c r="B41" s="454" t="s">
        <v>597</v>
      </c>
      <c r="C41" s="446"/>
      <c r="D41" s="446"/>
      <c r="E41" s="446"/>
      <c r="F41" s="446"/>
      <c r="G41" s="458"/>
    </row>
    <row r="43" spans="1:15" ht="24.95" customHeight="1" x14ac:dyDescent="0.35">
      <c r="B43" s="521" t="s">
        <v>602</v>
      </c>
      <c r="C43" s="521"/>
      <c r="D43" s="521"/>
      <c r="E43" s="521"/>
      <c r="F43" s="521"/>
      <c r="G43" s="521"/>
      <c r="H43" s="321"/>
      <c r="I43" s="321"/>
      <c r="J43" s="321"/>
      <c r="K43" s="321"/>
      <c r="L43" s="321"/>
      <c r="M43" s="321"/>
      <c r="N43" s="321"/>
    </row>
    <row r="44" spans="1:15" ht="21.95" customHeight="1" x14ac:dyDescent="0.35">
      <c r="B44" s="522" t="s">
        <v>603</v>
      </c>
      <c r="C44" s="522"/>
      <c r="D44" s="522"/>
      <c r="E44" s="522"/>
      <c r="F44" s="522"/>
      <c r="G44" s="522"/>
      <c r="H44" s="314"/>
      <c r="I44" s="314"/>
      <c r="J44" s="314"/>
      <c r="K44" s="314"/>
      <c r="L44" s="314"/>
      <c r="M44" s="314"/>
      <c r="N44" s="314"/>
    </row>
    <row r="45" spans="1:15" ht="8.1" customHeight="1" x14ac:dyDescent="0.35">
      <c r="B45" s="207"/>
      <c r="C45" s="207"/>
      <c r="D45" s="207"/>
      <c r="E45" s="207"/>
      <c r="F45" s="207"/>
      <c r="G45" s="207"/>
      <c r="H45"/>
      <c r="I45"/>
      <c r="J45"/>
      <c r="K45"/>
      <c r="L45"/>
      <c r="M45"/>
      <c r="N45"/>
    </row>
    <row r="46" spans="1:15" ht="21.95" customHeight="1" x14ac:dyDescent="0.35">
      <c r="B46" s="523" t="s">
        <v>6</v>
      </c>
      <c r="C46" s="523" t="s">
        <v>580</v>
      </c>
      <c r="D46" s="523" t="s">
        <v>497</v>
      </c>
      <c r="E46" s="523" t="s">
        <v>604</v>
      </c>
      <c r="F46" s="523" t="s">
        <v>548</v>
      </c>
      <c r="G46" s="523" t="s">
        <v>605</v>
      </c>
      <c r="H46"/>
      <c r="I46"/>
      <c r="J46"/>
      <c r="K46"/>
      <c r="L46"/>
      <c r="M46"/>
      <c r="N46"/>
    </row>
    <row r="47" spans="1:15" ht="20.100000000000001" customHeight="1" x14ac:dyDescent="0.35">
      <c r="B47" s="529" t="s">
        <v>579</v>
      </c>
      <c r="C47" s="553">
        <v>409.2</v>
      </c>
      <c r="D47" s="554" t="s">
        <v>606</v>
      </c>
      <c r="E47" s="554" t="s">
        <v>607</v>
      </c>
      <c r="F47" s="554" t="s">
        <v>608</v>
      </c>
      <c r="G47" s="555" t="s">
        <v>609</v>
      </c>
      <c r="H47"/>
      <c r="I47"/>
      <c r="J47"/>
      <c r="K47"/>
      <c r="L47"/>
      <c r="M47"/>
      <c r="N47"/>
    </row>
    <row r="48" spans="1:15" ht="20.100000000000001" customHeight="1" x14ac:dyDescent="0.35">
      <c r="B48" s="530" t="s">
        <v>574</v>
      </c>
      <c r="C48" s="525">
        <v>420.3</v>
      </c>
      <c r="D48" s="524" t="s">
        <v>610</v>
      </c>
      <c r="E48" s="524" t="s">
        <v>607</v>
      </c>
      <c r="F48" s="524" t="s">
        <v>608</v>
      </c>
      <c r="G48" s="528" t="s">
        <v>611</v>
      </c>
      <c r="H48"/>
      <c r="I48"/>
      <c r="J48"/>
      <c r="K48"/>
      <c r="L48"/>
      <c r="M48"/>
      <c r="N48"/>
    </row>
    <row r="49" spans="1:14" ht="20.100000000000001" customHeight="1" x14ac:dyDescent="0.35">
      <c r="B49" s="529" t="s">
        <v>503</v>
      </c>
      <c r="C49" s="527">
        <v>372.5</v>
      </c>
      <c r="D49" s="526" t="s">
        <v>612</v>
      </c>
      <c r="E49" s="526" t="s">
        <v>613</v>
      </c>
      <c r="F49" s="526" t="s">
        <v>614</v>
      </c>
      <c r="G49" s="529" t="s">
        <v>615</v>
      </c>
      <c r="H49"/>
      <c r="I49"/>
      <c r="J49"/>
      <c r="K49"/>
      <c r="L49"/>
      <c r="M49"/>
      <c r="N49"/>
    </row>
    <row r="50" spans="1:14" x14ac:dyDescent="0.35">
      <c r="B50" s="530" t="s">
        <v>674</v>
      </c>
      <c r="C50" s="524">
        <v>396.9</v>
      </c>
      <c r="D50" s="524" t="s">
        <v>675</v>
      </c>
      <c r="E50" s="524" t="s">
        <v>676</v>
      </c>
      <c r="F50" s="524" t="s">
        <v>608</v>
      </c>
      <c r="G50" s="528" t="s">
        <v>677</v>
      </c>
      <c r="H50"/>
      <c r="I50"/>
      <c r="J50"/>
      <c r="K50"/>
      <c r="L50"/>
      <c r="M50"/>
      <c r="N50"/>
    </row>
    <row r="51" spans="1:14" x14ac:dyDescent="0.35">
      <c r="A51" s="556"/>
      <c r="B51" s="556"/>
      <c r="C51" s="556"/>
      <c r="D51" s="556"/>
      <c r="E51" s="556"/>
      <c r="F51" s="556"/>
      <c r="G51" s="556"/>
      <c r="H51" s="556"/>
      <c r="I51"/>
      <c r="J51"/>
      <c r="K51"/>
      <c r="L51"/>
      <c r="M51"/>
      <c r="N51"/>
    </row>
    <row r="52" spans="1:14" ht="21.95" customHeight="1" x14ac:dyDescent="0.35">
      <c r="B52" s="550" t="s">
        <v>678</v>
      </c>
      <c r="C52" s="550"/>
      <c r="D52" s="550"/>
      <c r="E52" s="550"/>
      <c r="F52" s="550"/>
      <c r="G52" s="550"/>
      <c r="H52"/>
      <c r="I52"/>
      <c r="J52"/>
      <c r="K52"/>
      <c r="L52"/>
      <c r="M52"/>
      <c r="N52"/>
    </row>
    <row r="53" spans="1:14" ht="20.100000000000001" customHeight="1" x14ac:dyDescent="0.35">
      <c r="B53" s="551" t="s">
        <v>458</v>
      </c>
      <c r="C53" s="520" t="s">
        <v>616</v>
      </c>
      <c r="D53" s="531"/>
      <c r="E53" s="531"/>
      <c r="F53" s="531"/>
      <c r="G53" s="531"/>
      <c r="H53"/>
      <c r="I53"/>
      <c r="J53"/>
      <c r="K53"/>
      <c r="L53"/>
      <c r="M53"/>
      <c r="N53"/>
    </row>
    <row r="54" spans="1:14" ht="20.100000000000001" customHeight="1" x14ac:dyDescent="0.35">
      <c r="B54" s="552" t="s">
        <v>460</v>
      </c>
      <c r="C54" s="519" t="s">
        <v>617</v>
      </c>
      <c r="D54" s="532"/>
      <c r="E54" s="532"/>
      <c r="F54" s="532"/>
      <c r="G54" s="532"/>
      <c r="H54"/>
      <c r="I54"/>
      <c r="J54"/>
      <c r="K54"/>
      <c r="L54"/>
      <c r="M54"/>
      <c r="N54"/>
    </row>
    <row r="55" spans="1:14" ht="20.100000000000001" customHeight="1" x14ac:dyDescent="0.35">
      <c r="B55" s="551" t="s">
        <v>462</v>
      </c>
      <c r="C55" s="520" t="s">
        <v>618</v>
      </c>
      <c r="D55" s="531"/>
      <c r="E55" s="531"/>
      <c r="F55" s="531"/>
      <c r="G55" s="531"/>
      <c r="H55"/>
      <c r="I55"/>
      <c r="J55"/>
      <c r="K55"/>
      <c r="L55"/>
      <c r="M55"/>
      <c r="N55"/>
    </row>
    <row r="56" spans="1:14" ht="20.100000000000001" customHeight="1" x14ac:dyDescent="0.35">
      <c r="B56" s="552" t="s">
        <v>464</v>
      </c>
      <c r="C56" s="519" t="s">
        <v>619</v>
      </c>
      <c r="D56" s="532"/>
      <c r="E56" s="532"/>
      <c r="F56" s="532"/>
      <c r="G56" s="532"/>
      <c r="H56"/>
      <c r="I56"/>
      <c r="J56"/>
      <c r="K56"/>
      <c r="L56"/>
      <c r="M56"/>
      <c r="N56"/>
    </row>
    <row r="57" spans="1:14" ht="20.100000000000001" customHeight="1" x14ac:dyDescent="0.35">
      <c r="B57" s="556"/>
      <c r="C57" s="557"/>
      <c r="D57" s="558"/>
      <c r="E57" s="558"/>
      <c r="F57" s="558"/>
      <c r="G57" s="558"/>
      <c r="H57"/>
      <c r="I57"/>
      <c r="J57"/>
      <c r="K57"/>
      <c r="L57"/>
      <c r="M57"/>
      <c r="N57"/>
    </row>
    <row r="58" spans="1:14" ht="21.95" customHeight="1" x14ac:dyDescent="0.35">
      <c r="B58" s="533" t="s">
        <v>620</v>
      </c>
      <c r="C58" s="533"/>
      <c r="D58" s="533"/>
      <c r="E58" s="533"/>
      <c r="F58" s="533"/>
      <c r="G58" s="533"/>
      <c r="H58"/>
      <c r="I58"/>
      <c r="J58"/>
      <c r="K58"/>
      <c r="L58"/>
      <c r="M58"/>
      <c r="N58"/>
    </row>
    <row r="59" spans="1:14" ht="35.1" customHeight="1" x14ac:dyDescent="0.35">
      <c r="B59" s="534" t="s">
        <v>623</v>
      </c>
      <c r="C59" s="534"/>
      <c r="D59" s="534"/>
      <c r="E59" s="534"/>
      <c r="F59" s="534"/>
      <c r="G59" s="534"/>
      <c r="H59"/>
      <c r="I59"/>
      <c r="J59"/>
      <c r="K59"/>
      <c r="L59"/>
      <c r="M59"/>
      <c r="N59"/>
    </row>
    <row r="60" spans="1:14" ht="9.9499999999999993" customHeight="1" x14ac:dyDescent="0.35">
      <c r="B60" s="207"/>
      <c r="C60" s="207"/>
      <c r="D60" s="207"/>
      <c r="E60" s="207"/>
      <c r="F60" s="207"/>
      <c r="G60" s="207"/>
      <c r="H60"/>
      <c r="I60"/>
      <c r="J60"/>
      <c r="K60"/>
      <c r="L60"/>
      <c r="M60"/>
      <c r="N60"/>
    </row>
    <row r="61" spans="1:14" ht="21.95" customHeight="1" x14ac:dyDescent="0.35">
      <c r="B61" s="536" t="s">
        <v>624</v>
      </c>
      <c r="C61" s="537"/>
      <c r="D61" s="537"/>
      <c r="E61" s="538"/>
      <c r="F61" s="535"/>
      <c r="G61" s="535"/>
      <c r="H61"/>
      <c r="I61"/>
      <c r="J61"/>
      <c r="K61"/>
      <c r="L61"/>
      <c r="M61"/>
      <c r="N61"/>
    </row>
    <row r="62" spans="1:14" ht="20.100000000000001" customHeight="1" x14ac:dyDescent="0.35">
      <c r="B62" s="539" t="s">
        <v>621</v>
      </c>
      <c r="C62" s="540" t="s">
        <v>625</v>
      </c>
      <c r="D62" s="541" t="s">
        <v>626</v>
      </c>
      <c r="E62" s="542" t="s">
        <v>627</v>
      </c>
      <c r="F62" s="207"/>
      <c r="G62" s="207"/>
      <c r="H62"/>
      <c r="I62"/>
      <c r="J62"/>
      <c r="K62"/>
      <c r="L62"/>
      <c r="M62"/>
      <c r="N62"/>
    </row>
    <row r="63" spans="1:14" ht="20.100000000000001" customHeight="1" x14ac:dyDescent="0.35">
      <c r="B63" s="543" t="s">
        <v>628</v>
      </c>
      <c r="C63" s="544" t="s">
        <v>606</v>
      </c>
      <c r="D63" s="545" t="s">
        <v>629</v>
      </c>
      <c r="E63" s="546" t="s">
        <v>630</v>
      </c>
      <c r="F63" s="207"/>
      <c r="G63" s="207"/>
      <c r="H63"/>
      <c r="I63"/>
      <c r="J63"/>
      <c r="K63"/>
      <c r="L63"/>
      <c r="M63"/>
      <c r="N63"/>
    </row>
    <row r="64" spans="1:14" ht="20.100000000000001" customHeight="1" x14ac:dyDescent="0.35">
      <c r="B64" s="539" t="s">
        <v>631</v>
      </c>
      <c r="C64" s="540" t="s">
        <v>610</v>
      </c>
      <c r="D64" s="541" t="s">
        <v>632</v>
      </c>
      <c r="E64" s="542" t="s">
        <v>633</v>
      </c>
      <c r="F64" s="207"/>
      <c r="G64" s="207"/>
      <c r="H64"/>
      <c r="I64"/>
      <c r="J64"/>
      <c r="K64"/>
      <c r="L64"/>
      <c r="M64"/>
      <c r="N64"/>
    </row>
    <row r="65" spans="2:14" ht="20.100000000000001" customHeight="1" thickBot="1" x14ac:dyDescent="0.4">
      <c r="B65" s="547" t="s">
        <v>634</v>
      </c>
      <c r="C65" s="548" t="s">
        <v>161</v>
      </c>
      <c r="D65" s="548" t="s">
        <v>635</v>
      </c>
      <c r="E65" s="549" t="s">
        <v>636</v>
      </c>
      <c r="F65" s="207"/>
      <c r="G65" s="207"/>
      <c r="H65"/>
      <c r="I65"/>
      <c r="J65"/>
      <c r="K65"/>
      <c r="L65"/>
      <c r="M65"/>
      <c r="N65"/>
    </row>
    <row r="66" spans="2:14" x14ac:dyDescent="0.35"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2:14" x14ac:dyDescent="0.35">
      <c r="B67"/>
      <c r="C67"/>
      <c r="D67"/>
      <c r="E67"/>
      <c r="F67"/>
      <c r="G67"/>
      <c r="H67"/>
      <c r="I67"/>
      <c r="J67"/>
      <c r="K67"/>
      <c r="L67"/>
      <c r="M67"/>
      <c r="N67"/>
    </row>
  </sheetData>
  <mergeCells count="38">
    <mergeCell ref="B41:G41"/>
    <mergeCell ref="B29:F29"/>
    <mergeCell ref="D12:J12"/>
    <mergeCell ref="B59:G59"/>
    <mergeCell ref="B52:G52"/>
    <mergeCell ref="B43:G43"/>
    <mergeCell ref="B44:G44"/>
    <mergeCell ref="B35:G35"/>
    <mergeCell ref="C36:G36"/>
    <mergeCell ref="C37:G37"/>
    <mergeCell ref="C38:G38"/>
    <mergeCell ref="B40:G40"/>
    <mergeCell ref="I30:K30"/>
    <mergeCell ref="L30:N30"/>
    <mergeCell ref="B32:G32"/>
    <mergeCell ref="B33:G33"/>
    <mergeCell ref="I25:N25"/>
    <mergeCell ref="I26:N26"/>
    <mergeCell ref="I28:N28"/>
    <mergeCell ref="I29:K29"/>
    <mergeCell ref="L29:N29"/>
    <mergeCell ref="B2:N2"/>
    <mergeCell ref="I6:N6"/>
    <mergeCell ref="B7:G7"/>
    <mergeCell ref="I27:N27"/>
    <mergeCell ref="I24:N24"/>
    <mergeCell ref="B3:N3"/>
    <mergeCell ref="B6:G6"/>
    <mergeCell ref="I10:N10"/>
    <mergeCell ref="B4:N4"/>
    <mergeCell ref="I7:N7"/>
    <mergeCell ref="I9:N9"/>
    <mergeCell ref="B9:G9"/>
    <mergeCell ref="I20:N20"/>
    <mergeCell ref="B20:G20"/>
    <mergeCell ref="B10:G10"/>
    <mergeCell ref="I21:N22"/>
    <mergeCell ref="I23:N23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showGridLines="0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2.85546875" customWidth="1"/>
    <col min="2" max="2" width="34.28515625" customWidth="1"/>
    <col min="3" max="3" width="38.140625" customWidth="1"/>
    <col min="4" max="4" width="19" customWidth="1"/>
    <col min="5" max="5" width="15.28515625" customWidth="1"/>
    <col min="6" max="6" width="22.85546875" customWidth="1"/>
    <col min="7" max="7" width="2.85546875" customWidth="1"/>
  </cols>
  <sheetData>
    <row r="1" spans="1:7" x14ac:dyDescent="0.25">
      <c r="A1" s="124"/>
      <c r="B1" s="6"/>
      <c r="C1" s="6"/>
      <c r="D1" s="6"/>
      <c r="E1" s="6"/>
      <c r="F1" s="6"/>
      <c r="G1" s="6"/>
    </row>
    <row r="2" spans="1:7" ht="35.1" customHeight="1" thickBot="1" x14ac:dyDescent="0.3">
      <c r="A2" s="6"/>
      <c r="B2" s="141" t="s">
        <v>34</v>
      </c>
      <c r="C2" s="142"/>
      <c r="D2" s="142"/>
      <c r="E2" s="142"/>
      <c r="F2" s="142"/>
      <c r="G2" s="6"/>
    </row>
    <row r="3" spans="1:7" ht="15.75" thickTop="1" x14ac:dyDescent="0.25">
      <c r="A3" s="6"/>
      <c r="B3" s="10"/>
      <c r="C3" s="10"/>
      <c r="D3" s="10"/>
      <c r="E3" s="10"/>
      <c r="F3" s="10"/>
      <c r="G3" s="6"/>
    </row>
    <row r="4" spans="1:7" ht="27.95" customHeight="1" x14ac:dyDescent="0.3">
      <c r="A4" s="6"/>
      <c r="B4" s="136" t="s">
        <v>35</v>
      </c>
      <c r="C4" s="137"/>
      <c r="D4" s="137"/>
      <c r="E4" s="137"/>
      <c r="F4" s="137"/>
      <c r="G4" s="6"/>
    </row>
    <row r="5" spans="1:7" ht="21.95" customHeight="1" x14ac:dyDescent="0.25">
      <c r="A5" s="6"/>
      <c r="B5" s="25" t="s">
        <v>36</v>
      </c>
      <c r="C5" s="36" t="s">
        <v>37</v>
      </c>
      <c r="D5" s="26" t="s">
        <v>38</v>
      </c>
      <c r="E5" s="11"/>
      <c r="F5" s="11"/>
      <c r="G5" s="6"/>
    </row>
    <row r="6" spans="1:7" ht="21.95" customHeight="1" x14ac:dyDescent="0.25">
      <c r="A6" s="6"/>
      <c r="B6" s="27" t="s">
        <v>39</v>
      </c>
      <c r="C6" s="36" t="s">
        <v>40</v>
      </c>
      <c r="D6" s="28" t="s">
        <v>38</v>
      </c>
      <c r="E6" s="14"/>
      <c r="F6" s="14"/>
      <c r="G6" s="6"/>
    </row>
    <row r="7" spans="1:7" ht="21.95" customHeight="1" x14ac:dyDescent="0.25">
      <c r="A7" s="6"/>
      <c r="B7" s="29" t="s">
        <v>41</v>
      </c>
      <c r="C7" s="36" t="s">
        <v>42</v>
      </c>
      <c r="D7" s="30" t="s">
        <v>38</v>
      </c>
      <c r="E7" s="11"/>
      <c r="F7" s="11"/>
      <c r="G7" s="6"/>
    </row>
    <row r="8" spans="1:7" ht="21.95" customHeight="1" x14ac:dyDescent="0.25">
      <c r="A8" s="6"/>
      <c r="B8" s="27" t="s">
        <v>43</v>
      </c>
      <c r="C8" s="36" t="s">
        <v>303</v>
      </c>
      <c r="D8" s="28" t="s">
        <v>38</v>
      </c>
      <c r="E8" s="14"/>
      <c r="F8" s="14"/>
      <c r="G8" s="6"/>
    </row>
    <row r="9" spans="1:7" ht="21.95" customHeight="1" x14ac:dyDescent="0.25">
      <c r="A9" s="6"/>
      <c r="B9" s="29" t="s">
        <v>44</v>
      </c>
      <c r="C9" s="191">
        <v>46174</v>
      </c>
      <c r="D9" s="30" t="s">
        <v>45</v>
      </c>
      <c r="E9" s="11"/>
      <c r="F9" s="11"/>
      <c r="G9" s="6"/>
    </row>
    <row r="10" spans="1:7" ht="21.95" customHeight="1" x14ac:dyDescent="0.25">
      <c r="A10" s="6"/>
      <c r="B10" s="27" t="s">
        <v>46</v>
      </c>
      <c r="C10" s="191">
        <v>46295</v>
      </c>
      <c r="D10" s="28" t="s">
        <v>45</v>
      </c>
      <c r="E10" s="14"/>
      <c r="F10" s="14"/>
      <c r="G10" s="6"/>
    </row>
    <row r="11" spans="1:7" ht="21.95" customHeight="1" x14ac:dyDescent="0.25">
      <c r="A11" s="6"/>
      <c r="B11" s="29" t="s">
        <v>47</v>
      </c>
      <c r="C11" s="36">
        <v>8</v>
      </c>
      <c r="D11" s="30" t="s">
        <v>48</v>
      </c>
      <c r="E11" s="11"/>
      <c r="F11" s="11"/>
      <c r="G11" s="6"/>
    </row>
    <row r="12" spans="1:7" ht="21.95" customHeight="1" x14ac:dyDescent="0.25">
      <c r="A12" s="6"/>
      <c r="B12" s="27" t="s">
        <v>49</v>
      </c>
      <c r="C12" s="36">
        <v>6</v>
      </c>
      <c r="D12" s="28" t="s">
        <v>50</v>
      </c>
      <c r="E12" s="14"/>
      <c r="F12" s="14"/>
      <c r="G12" s="6"/>
    </row>
    <row r="13" spans="1:7" ht="21.95" customHeight="1" thickBot="1" x14ac:dyDescent="0.3">
      <c r="A13" s="6"/>
      <c r="B13" s="29" t="s">
        <v>51</v>
      </c>
      <c r="C13" s="36">
        <v>2</v>
      </c>
      <c r="D13" s="30" t="s">
        <v>52</v>
      </c>
      <c r="E13" s="11"/>
      <c r="F13" s="11"/>
      <c r="G13" s="6"/>
    </row>
    <row r="14" spans="1:7" ht="21.95" customHeight="1" x14ac:dyDescent="0.25">
      <c r="A14" s="6"/>
      <c r="B14" s="31" t="s">
        <v>53</v>
      </c>
      <c r="C14" s="377">
        <f>ROUND((C10-C9)/7,1)</f>
        <v>17.3</v>
      </c>
      <c r="D14" s="32" t="s">
        <v>54</v>
      </c>
      <c r="E14" s="14"/>
      <c r="F14" s="14"/>
      <c r="G14" s="6"/>
    </row>
    <row r="15" spans="1:7" x14ac:dyDescent="0.25">
      <c r="A15" s="6"/>
      <c r="B15" s="6"/>
      <c r="C15" s="6"/>
      <c r="D15" s="6"/>
      <c r="E15" s="6"/>
      <c r="F15" s="6"/>
      <c r="G15" s="6"/>
    </row>
    <row r="16" spans="1:7" x14ac:dyDescent="0.25">
      <c r="A16" s="6"/>
      <c r="B16" s="6"/>
      <c r="C16" s="6"/>
      <c r="D16" s="6"/>
      <c r="E16" s="6"/>
      <c r="F16" s="6"/>
      <c r="G16" s="6"/>
    </row>
    <row r="17" spans="1:7" ht="27.95" customHeight="1" x14ac:dyDescent="0.3">
      <c r="A17" s="6"/>
      <c r="B17" s="143" t="s">
        <v>55</v>
      </c>
      <c r="C17" s="137"/>
      <c r="D17" s="137"/>
      <c r="E17" s="137"/>
      <c r="F17" s="137"/>
      <c r="G17" s="6"/>
    </row>
    <row r="18" spans="1:7" ht="24.95" customHeight="1" x14ac:dyDescent="0.25">
      <c r="A18" s="6"/>
      <c r="B18" s="33" t="s">
        <v>56</v>
      </c>
      <c r="C18" s="34" t="s">
        <v>57</v>
      </c>
      <c r="D18" s="34" t="s">
        <v>58</v>
      </c>
      <c r="E18" s="34" t="s">
        <v>59</v>
      </c>
      <c r="F18" s="35" t="s">
        <v>60</v>
      </c>
      <c r="G18" s="6"/>
    </row>
    <row r="19" spans="1:7" ht="21.95" customHeight="1" x14ac:dyDescent="0.25">
      <c r="A19" s="6"/>
      <c r="B19" s="125" t="s">
        <v>42</v>
      </c>
      <c r="C19" s="125" t="s">
        <v>41</v>
      </c>
      <c r="D19" s="125" t="s">
        <v>61</v>
      </c>
      <c r="E19" s="127">
        <v>95</v>
      </c>
      <c r="F19" s="126">
        <v>1</v>
      </c>
      <c r="G19" s="6"/>
    </row>
    <row r="20" spans="1:7" ht="21.95" customHeight="1" x14ac:dyDescent="0.25">
      <c r="A20" s="6"/>
      <c r="B20" s="125" t="s">
        <v>63</v>
      </c>
      <c r="C20" s="125" t="s">
        <v>64</v>
      </c>
      <c r="D20" s="125" t="s">
        <v>65</v>
      </c>
      <c r="E20" s="127">
        <v>70</v>
      </c>
      <c r="F20" s="126">
        <v>1</v>
      </c>
      <c r="G20" s="6"/>
    </row>
    <row r="21" spans="1:7" ht="21.95" customHeight="1" x14ac:dyDescent="0.25">
      <c r="A21" s="6"/>
      <c r="B21" s="125" t="s">
        <v>62</v>
      </c>
      <c r="C21" s="125" t="s">
        <v>476</v>
      </c>
      <c r="D21" s="125" t="s">
        <v>61</v>
      </c>
      <c r="E21" s="127">
        <v>90</v>
      </c>
      <c r="F21" s="126">
        <v>0.9</v>
      </c>
      <c r="G21" s="6"/>
    </row>
    <row r="22" spans="1:7" ht="21.95" customHeight="1" x14ac:dyDescent="0.25">
      <c r="A22" s="6"/>
      <c r="B22" s="125" t="s">
        <v>598</v>
      </c>
      <c r="C22" s="125" t="s">
        <v>599</v>
      </c>
      <c r="D22" s="125" t="s">
        <v>65</v>
      </c>
      <c r="E22" s="127">
        <v>75</v>
      </c>
      <c r="F22" s="126">
        <v>0.9</v>
      </c>
      <c r="G22" s="6"/>
    </row>
    <row r="23" spans="1:7" ht="21.95" customHeight="1" x14ac:dyDescent="0.25">
      <c r="A23" s="6"/>
      <c r="B23" s="125" t="s">
        <v>66</v>
      </c>
      <c r="C23" s="125" t="s">
        <v>67</v>
      </c>
      <c r="D23" s="125" t="s">
        <v>65</v>
      </c>
      <c r="E23" s="127">
        <v>75</v>
      </c>
      <c r="F23" s="126">
        <v>0.6</v>
      </c>
      <c r="G23" s="6"/>
    </row>
    <row r="24" spans="1:7" ht="21.95" customHeight="1" x14ac:dyDescent="0.25">
      <c r="A24" s="6"/>
      <c r="B24" s="125" t="s">
        <v>68</v>
      </c>
      <c r="C24" s="125" t="s">
        <v>69</v>
      </c>
      <c r="D24" s="125" t="s">
        <v>70</v>
      </c>
      <c r="E24" s="127">
        <v>50</v>
      </c>
      <c r="F24" s="126">
        <v>0.9</v>
      </c>
      <c r="G24" s="6"/>
    </row>
    <row r="25" spans="1:7" x14ac:dyDescent="0.25">
      <c r="A25" s="6"/>
      <c r="G25" s="6"/>
    </row>
    <row r="26" spans="1:7" x14ac:dyDescent="0.25">
      <c r="A26" s="6"/>
      <c r="B26" s="6"/>
      <c r="C26" s="6"/>
      <c r="D26" s="6"/>
      <c r="E26" s="6"/>
      <c r="F26" s="6"/>
      <c r="G26" s="6"/>
    </row>
    <row r="27" spans="1:7" ht="24.95" customHeight="1" x14ac:dyDescent="0.25">
      <c r="A27" s="146" t="s">
        <v>71</v>
      </c>
      <c r="B27" s="147"/>
      <c r="C27" s="147"/>
      <c r="D27" s="147"/>
      <c r="E27" s="147"/>
      <c r="F27" s="148"/>
      <c r="G27" s="6"/>
    </row>
    <row r="28" spans="1:7" ht="20.100000000000001" customHeight="1" x14ac:dyDescent="0.25">
      <c r="A28" s="3"/>
      <c r="B28" s="134" t="s">
        <v>304</v>
      </c>
      <c r="C28" s="135"/>
      <c r="D28" s="135"/>
      <c r="E28" s="135"/>
      <c r="F28" s="135"/>
      <c r="G28" s="6"/>
    </row>
    <row r="29" spans="1:7" ht="20.100000000000001" customHeight="1" thickBot="1" x14ac:dyDescent="0.3">
      <c r="A29" s="7"/>
      <c r="B29" s="144" t="s">
        <v>72</v>
      </c>
      <c r="C29" s="145"/>
      <c r="D29" s="145"/>
      <c r="E29" s="145"/>
      <c r="F29" s="145"/>
      <c r="G29" s="6"/>
    </row>
    <row r="30" spans="1:7" ht="20.100000000000001" customHeight="1" x14ac:dyDescent="0.25">
      <c r="A30" s="8"/>
      <c r="B30" s="138" t="s">
        <v>73</v>
      </c>
      <c r="C30" s="139"/>
      <c r="D30" s="139"/>
      <c r="E30" s="139"/>
      <c r="F30" s="140"/>
      <c r="G30" s="6"/>
    </row>
    <row r="31" spans="1:7" ht="20.100000000000001" customHeight="1" x14ac:dyDescent="0.25">
      <c r="A31" s="9"/>
      <c r="B31" s="133" t="s">
        <v>74</v>
      </c>
      <c r="C31" s="133"/>
      <c r="D31" s="133"/>
      <c r="E31" s="133"/>
      <c r="F31" s="133"/>
      <c r="G31" s="6"/>
    </row>
  </sheetData>
  <mergeCells count="8">
    <mergeCell ref="B31:F31"/>
    <mergeCell ref="B28:F28"/>
    <mergeCell ref="B4:F4"/>
    <mergeCell ref="B30:F30"/>
    <mergeCell ref="B2:F2"/>
    <mergeCell ref="B17:F17"/>
    <mergeCell ref="B29:F29"/>
    <mergeCell ref="A27:F27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74"/>
  <sheetViews>
    <sheetView showGridLines="0" workbookViewId="0">
      <pane ySplit="7" topLeftCell="A8" activePane="bottomLeft" state="frozen"/>
      <selection activeCell="B1" sqref="B1"/>
      <selection pane="bottomLeft" activeCell="A8" sqref="A8"/>
    </sheetView>
  </sheetViews>
  <sheetFormatPr defaultRowHeight="15" x14ac:dyDescent="0.25"/>
  <cols>
    <col min="1" max="1" width="2.85546875" customWidth="1"/>
    <col min="2" max="2" width="30.42578125" customWidth="1"/>
    <col min="3" max="3" width="39.5703125" bestFit="1" customWidth="1"/>
    <col min="4" max="4" width="17.140625" customWidth="1"/>
    <col min="5" max="5" width="41.85546875" customWidth="1"/>
    <col min="6" max="6" width="28.5703125" customWidth="1"/>
    <col min="7" max="7" width="19" customWidth="1"/>
    <col min="8" max="8" width="14.28515625" customWidth="1"/>
    <col min="9" max="11" width="15.28515625" customWidth="1"/>
  </cols>
  <sheetData>
    <row r="2" spans="2:11" ht="35.1" customHeight="1" x14ac:dyDescent="0.35">
      <c r="B2" s="301" t="s">
        <v>506</v>
      </c>
      <c r="C2" s="202"/>
      <c r="D2" s="202"/>
      <c r="E2" s="202"/>
      <c r="F2" s="202"/>
      <c r="G2" s="202"/>
      <c r="H2" s="202"/>
      <c r="I2" s="202"/>
      <c r="J2" s="202"/>
      <c r="K2" s="202"/>
    </row>
    <row r="3" spans="2:11" ht="24.95" customHeight="1" x14ac:dyDescent="0.25">
      <c r="B3" s="302" t="s">
        <v>507</v>
      </c>
      <c r="C3" s="202"/>
      <c r="D3" s="202"/>
      <c r="E3" s="202"/>
      <c r="F3" s="202"/>
      <c r="G3" s="202"/>
      <c r="H3" s="202"/>
      <c r="I3" s="202"/>
      <c r="J3" s="202"/>
      <c r="K3" s="202"/>
    </row>
    <row r="4" spans="2:11" ht="3.95" customHeight="1" x14ac:dyDescent="0.25">
      <c r="B4" s="205"/>
      <c r="C4" s="205"/>
      <c r="D4" s="205"/>
      <c r="E4" s="205"/>
      <c r="F4" s="205"/>
      <c r="G4" s="205"/>
      <c r="H4" s="205"/>
      <c r="I4" s="205"/>
      <c r="J4" s="205"/>
      <c r="K4" s="205"/>
    </row>
    <row r="5" spans="2:11" ht="9.9499999999999993" customHeight="1" x14ac:dyDescent="0.25"/>
    <row r="6" spans="2:11" ht="27.95" customHeight="1" x14ac:dyDescent="0.25">
      <c r="B6" s="303" t="s">
        <v>561</v>
      </c>
      <c r="C6" s="202"/>
      <c r="D6" s="202"/>
      <c r="E6" s="202"/>
      <c r="F6" s="202"/>
      <c r="G6" s="202"/>
      <c r="H6" s="202"/>
      <c r="I6" s="202"/>
      <c r="J6" s="202"/>
      <c r="K6" s="202"/>
    </row>
    <row r="7" spans="2:11" ht="27.95" customHeight="1" x14ac:dyDescent="0.25">
      <c r="B7" s="304" t="s">
        <v>504</v>
      </c>
      <c r="C7" s="304" t="s">
        <v>505</v>
      </c>
      <c r="D7" s="304" t="s">
        <v>153</v>
      </c>
      <c r="E7" s="304" t="s">
        <v>75</v>
      </c>
      <c r="F7" s="304" t="s">
        <v>76</v>
      </c>
      <c r="G7" s="304" t="s">
        <v>77</v>
      </c>
      <c r="H7" s="304" t="s">
        <v>78</v>
      </c>
      <c r="I7" s="304" t="s">
        <v>79</v>
      </c>
      <c r="J7" s="304" t="s">
        <v>80</v>
      </c>
      <c r="K7" s="304" t="s">
        <v>81</v>
      </c>
    </row>
    <row r="8" spans="2:11" ht="21.95" customHeight="1" x14ac:dyDescent="0.25">
      <c r="B8" s="305" t="s">
        <v>342</v>
      </c>
      <c r="C8" s="209" t="s">
        <v>477</v>
      </c>
      <c r="D8" s="396" t="s">
        <v>301</v>
      </c>
      <c r="E8" s="294">
        <v>12</v>
      </c>
      <c r="F8" s="294">
        <v>20</v>
      </c>
      <c r="G8" s="294">
        <v>32</v>
      </c>
      <c r="H8" s="294">
        <f>(E8+4*F8+G8)/6</f>
        <v>20.666666666666668</v>
      </c>
      <c r="I8" s="294">
        <f>(G8-E8)/6</f>
        <v>3.3333333333333335</v>
      </c>
      <c r="J8" s="294">
        <f>H8-1.96*I8</f>
        <v>14.133333333333335</v>
      </c>
      <c r="K8" s="294">
        <f>H8+1.96*I8</f>
        <v>27.200000000000003</v>
      </c>
    </row>
    <row r="9" spans="2:11" ht="21.95" customHeight="1" x14ac:dyDescent="0.25">
      <c r="B9" s="305"/>
      <c r="C9" s="210" t="s">
        <v>478</v>
      </c>
      <c r="D9" s="397" t="s">
        <v>536</v>
      </c>
      <c r="E9" s="293">
        <v>7.5</v>
      </c>
      <c r="F9" s="293">
        <v>12.5</v>
      </c>
      <c r="G9" s="293">
        <v>20</v>
      </c>
      <c r="H9" s="293">
        <f>(E9+4*F9+G9)/6</f>
        <v>12.916666666666666</v>
      </c>
      <c r="I9" s="293">
        <f>(G9-E9)/6</f>
        <v>2.0833333333333335</v>
      </c>
      <c r="J9" s="293">
        <f>H9-1.96*I9</f>
        <v>8.8333333333333321</v>
      </c>
      <c r="K9" s="293">
        <f>H9+1.96*I9</f>
        <v>17</v>
      </c>
    </row>
    <row r="10" spans="2:11" ht="21.95" customHeight="1" x14ac:dyDescent="0.25">
      <c r="B10" s="305" t="s">
        <v>343</v>
      </c>
      <c r="C10" s="209" t="s">
        <v>479</v>
      </c>
      <c r="D10" s="396" t="s">
        <v>301</v>
      </c>
      <c r="E10" s="294">
        <v>12</v>
      </c>
      <c r="F10" s="294">
        <v>20</v>
      </c>
      <c r="G10" s="294">
        <v>32</v>
      </c>
      <c r="H10" s="294">
        <f>(E10+4*F10+G10)/6</f>
        <v>20.666666666666668</v>
      </c>
      <c r="I10" s="294">
        <f>(G10-E10)/6</f>
        <v>3.3333333333333335</v>
      </c>
      <c r="J10" s="294">
        <f>H10-1.96*I10</f>
        <v>14.133333333333335</v>
      </c>
      <c r="K10" s="294">
        <f>H10+1.96*I10</f>
        <v>27.200000000000003</v>
      </c>
    </row>
    <row r="11" spans="2:11" ht="21.95" customHeight="1" x14ac:dyDescent="0.25">
      <c r="B11" s="305"/>
      <c r="C11" s="210" t="s">
        <v>480</v>
      </c>
      <c r="D11" s="397" t="s">
        <v>301</v>
      </c>
      <c r="E11" s="293">
        <v>12</v>
      </c>
      <c r="F11" s="293">
        <v>20</v>
      </c>
      <c r="G11" s="293">
        <v>32</v>
      </c>
      <c r="H11" s="293">
        <f>(E11+4*F11+G11)/6</f>
        <v>20.666666666666668</v>
      </c>
      <c r="I11" s="293">
        <f>(G11-E11)/6</f>
        <v>3.3333333333333335</v>
      </c>
      <c r="J11" s="293">
        <f>H11-1.96*I11</f>
        <v>14.133333333333335</v>
      </c>
      <c r="K11" s="293">
        <f>H11+1.96*I11</f>
        <v>27.200000000000003</v>
      </c>
    </row>
    <row r="12" spans="2:11" ht="21.95" customHeight="1" x14ac:dyDescent="0.25">
      <c r="B12" s="305"/>
      <c r="C12" s="209" t="s">
        <v>481</v>
      </c>
      <c r="D12" s="396" t="s">
        <v>536</v>
      </c>
      <c r="E12" s="294">
        <v>7.5</v>
      </c>
      <c r="F12" s="294">
        <v>12.5</v>
      </c>
      <c r="G12" s="294">
        <v>20</v>
      </c>
      <c r="H12" s="294">
        <f>(E12+4*F12+G12)/6</f>
        <v>12.916666666666666</v>
      </c>
      <c r="I12" s="294">
        <f>(G12-E12)/6</f>
        <v>2.0833333333333335</v>
      </c>
      <c r="J12" s="294">
        <f>H12-1.96*I12</f>
        <v>8.8333333333333321</v>
      </c>
      <c r="K12" s="294">
        <f>H12+1.96*I12</f>
        <v>17</v>
      </c>
    </row>
    <row r="13" spans="2:11" ht="21.95" customHeight="1" x14ac:dyDescent="0.25">
      <c r="B13" s="306" t="s">
        <v>344</v>
      </c>
      <c r="C13" s="210" t="s">
        <v>482</v>
      </c>
      <c r="D13" s="397" t="s">
        <v>536</v>
      </c>
      <c r="E13" s="293">
        <v>7.5</v>
      </c>
      <c r="F13" s="293">
        <v>12.5</v>
      </c>
      <c r="G13" s="293">
        <v>20</v>
      </c>
      <c r="H13" s="293">
        <f>(E13+4*F13+G13)/6</f>
        <v>12.916666666666666</v>
      </c>
      <c r="I13" s="293">
        <f>(G13-E13)/6</f>
        <v>2.0833333333333335</v>
      </c>
      <c r="J13" s="293">
        <f>H13-1.96*I13</f>
        <v>8.8333333333333321</v>
      </c>
      <c r="K13" s="293">
        <f>H13+1.96*I13</f>
        <v>17</v>
      </c>
    </row>
    <row r="14" spans="2:11" ht="21.95" customHeight="1" x14ac:dyDescent="0.25">
      <c r="B14" s="306"/>
      <c r="C14" s="209" t="s">
        <v>483</v>
      </c>
      <c r="D14" s="396" t="s">
        <v>542</v>
      </c>
      <c r="E14" s="294">
        <v>20</v>
      </c>
      <c r="F14" s="294">
        <v>40</v>
      </c>
      <c r="G14" s="294">
        <v>64</v>
      </c>
      <c r="H14" s="294">
        <f>(E14+4*F14+G14)/6</f>
        <v>40.666666666666664</v>
      </c>
      <c r="I14" s="294">
        <f>(G14-E14)/6</f>
        <v>7.333333333333333</v>
      </c>
      <c r="J14" s="294">
        <f>H14-1.96*I14</f>
        <v>26.293333333333329</v>
      </c>
      <c r="K14" s="294">
        <f>H14+1.96*I14</f>
        <v>55.04</v>
      </c>
    </row>
    <row r="15" spans="2:11" ht="21.95" customHeight="1" x14ac:dyDescent="0.25">
      <c r="B15" s="306" t="s">
        <v>345</v>
      </c>
      <c r="C15" s="210" t="s">
        <v>484</v>
      </c>
      <c r="D15" s="397" t="s">
        <v>536</v>
      </c>
      <c r="E15" s="293">
        <v>5</v>
      </c>
      <c r="F15" s="293">
        <v>10</v>
      </c>
      <c r="G15" s="293">
        <v>18</v>
      </c>
      <c r="H15" s="293">
        <f>(E15+4*F15+G15)/6</f>
        <v>10.5</v>
      </c>
      <c r="I15" s="293">
        <f>(G15-E15)/6</f>
        <v>2.1666666666666665</v>
      </c>
      <c r="J15" s="293">
        <f>H15-1.96*I15</f>
        <v>6.2533333333333339</v>
      </c>
      <c r="K15" s="293">
        <f>H15+1.96*I15</f>
        <v>14.746666666666666</v>
      </c>
    </row>
    <row r="16" spans="2:11" ht="21.95" customHeight="1" x14ac:dyDescent="0.25">
      <c r="B16" s="306"/>
      <c r="C16" s="209" t="s">
        <v>485</v>
      </c>
      <c r="D16" s="396" t="s">
        <v>301</v>
      </c>
      <c r="E16" s="294">
        <v>12</v>
      </c>
      <c r="F16" s="294">
        <v>20</v>
      </c>
      <c r="G16" s="294">
        <v>32</v>
      </c>
      <c r="H16" s="294">
        <f>(E16+4*F16+G16)/6</f>
        <v>20.666666666666668</v>
      </c>
      <c r="I16" s="294">
        <f>(G16-E16)/6</f>
        <v>3.3333333333333335</v>
      </c>
      <c r="J16" s="294">
        <f>H16-1.96*I16</f>
        <v>14.133333333333335</v>
      </c>
      <c r="K16" s="294">
        <f>H16+1.96*I16</f>
        <v>27.200000000000003</v>
      </c>
    </row>
    <row r="17" spans="2:11" ht="21.95" customHeight="1" x14ac:dyDescent="0.25">
      <c r="B17" s="306"/>
      <c r="C17" s="210" t="s">
        <v>486</v>
      </c>
      <c r="D17" s="397" t="s">
        <v>536</v>
      </c>
      <c r="E17" s="293">
        <v>7.5</v>
      </c>
      <c r="F17" s="293">
        <v>12.5</v>
      </c>
      <c r="G17" s="293">
        <v>20</v>
      </c>
      <c r="H17" s="293">
        <f>(E17+4*F17+G17)/6</f>
        <v>12.916666666666666</v>
      </c>
      <c r="I17" s="293">
        <f>(G17-E17)/6</f>
        <v>2.0833333333333335</v>
      </c>
      <c r="J17" s="293">
        <f>H17-1.96*I17</f>
        <v>8.8333333333333321</v>
      </c>
      <c r="K17" s="293">
        <f>H17+1.96*I17</f>
        <v>17</v>
      </c>
    </row>
    <row r="18" spans="2:11" ht="21.95" customHeight="1" x14ac:dyDescent="0.25">
      <c r="B18" s="305" t="s">
        <v>346</v>
      </c>
      <c r="C18" s="209" t="s">
        <v>487</v>
      </c>
      <c r="D18" s="396" t="s">
        <v>301</v>
      </c>
      <c r="E18" s="294">
        <v>12</v>
      </c>
      <c r="F18" s="294">
        <v>20</v>
      </c>
      <c r="G18" s="294">
        <v>32</v>
      </c>
      <c r="H18" s="294">
        <f>(E18+4*F18+G18)/6</f>
        <v>20.666666666666668</v>
      </c>
      <c r="I18" s="294">
        <f>(G18-E18)/6</f>
        <v>3.3333333333333335</v>
      </c>
      <c r="J18" s="294">
        <f>H18-1.96*I18</f>
        <v>14.133333333333335</v>
      </c>
      <c r="K18" s="294">
        <f>H18+1.96*I18</f>
        <v>27.200000000000003</v>
      </c>
    </row>
    <row r="19" spans="2:11" ht="21.95" customHeight="1" x14ac:dyDescent="0.25">
      <c r="B19" s="305"/>
      <c r="C19" s="210" t="s">
        <v>488</v>
      </c>
      <c r="D19" s="397" t="s">
        <v>536</v>
      </c>
      <c r="E19" s="293">
        <v>7.5</v>
      </c>
      <c r="F19" s="293">
        <v>12.5</v>
      </c>
      <c r="G19" s="293">
        <v>20</v>
      </c>
      <c r="H19" s="293">
        <f>(E19+4*F19+G19)/6</f>
        <v>12.916666666666666</v>
      </c>
      <c r="I19" s="293">
        <f>(G19-E19)/6</f>
        <v>2.0833333333333335</v>
      </c>
      <c r="J19" s="293">
        <f>H19-1.96*I19</f>
        <v>8.8333333333333321</v>
      </c>
      <c r="K19" s="293">
        <f>H19+1.96*I19</f>
        <v>17</v>
      </c>
    </row>
    <row r="20" spans="2:11" ht="27.95" customHeight="1" x14ac:dyDescent="0.25">
      <c r="B20" s="307" t="s">
        <v>347</v>
      </c>
      <c r="C20" s="209" t="s">
        <v>489</v>
      </c>
      <c r="D20" s="396" t="s">
        <v>301</v>
      </c>
      <c r="E20" s="294">
        <v>12</v>
      </c>
      <c r="F20" s="294">
        <v>20</v>
      </c>
      <c r="G20" s="294">
        <v>32</v>
      </c>
      <c r="H20" s="294">
        <f>(E20+4*F20+G20)/6</f>
        <v>20.666666666666668</v>
      </c>
      <c r="I20" s="294">
        <f>(G20-E20)/6</f>
        <v>3.3333333333333335</v>
      </c>
      <c r="J20" s="294">
        <f>H20-1.96*I20</f>
        <v>14.133333333333335</v>
      </c>
      <c r="K20" s="294">
        <f>H20+1.96*I20</f>
        <v>27.200000000000003</v>
      </c>
    </row>
    <row r="21" spans="2:11" x14ac:dyDescent="0.25">
      <c r="B21" s="306" t="s">
        <v>348</v>
      </c>
      <c r="C21" s="210" t="s">
        <v>490</v>
      </c>
      <c r="D21" s="397" t="s">
        <v>301</v>
      </c>
      <c r="E21" s="293">
        <v>12</v>
      </c>
      <c r="F21" s="293">
        <v>20</v>
      </c>
      <c r="G21" s="293">
        <v>32</v>
      </c>
      <c r="H21" s="293">
        <f>(E21+4*F21+G21)/6</f>
        <v>20.666666666666668</v>
      </c>
      <c r="I21" s="293">
        <f>(G21-E21)/6</f>
        <v>3.3333333333333335</v>
      </c>
      <c r="J21" s="293">
        <f>H21-1.96*I21</f>
        <v>14.133333333333335</v>
      </c>
      <c r="K21" s="293">
        <f>H21+1.96*I21</f>
        <v>27.200000000000003</v>
      </c>
    </row>
    <row r="22" spans="2:11" ht="24.95" customHeight="1" x14ac:dyDescent="0.25">
      <c r="B22" s="306"/>
      <c r="C22" s="209" t="s">
        <v>491</v>
      </c>
      <c r="D22" s="396" t="s">
        <v>536</v>
      </c>
      <c r="E22" s="294">
        <v>7.5</v>
      </c>
      <c r="F22" s="294">
        <v>12.5</v>
      </c>
      <c r="G22" s="294">
        <v>20</v>
      </c>
      <c r="H22" s="294">
        <f>(E22+4*F22+G22)/6</f>
        <v>12.916666666666666</v>
      </c>
      <c r="I22" s="294">
        <f>(G22-E22)/6</f>
        <v>2.0833333333333335</v>
      </c>
      <c r="J22" s="294">
        <f>H22-1.96*I22</f>
        <v>8.8333333333333321</v>
      </c>
      <c r="K22" s="294">
        <f>H22+1.96*I22</f>
        <v>17</v>
      </c>
    </row>
    <row r="23" spans="2:11" ht="20.100000000000001" customHeight="1" x14ac:dyDescent="0.25">
      <c r="B23" s="306" t="s">
        <v>349</v>
      </c>
      <c r="C23" s="210" t="s">
        <v>492</v>
      </c>
      <c r="D23" s="397" t="s">
        <v>542</v>
      </c>
      <c r="E23" s="293">
        <v>24</v>
      </c>
      <c r="F23" s="293">
        <v>48</v>
      </c>
      <c r="G23" s="293">
        <v>72</v>
      </c>
      <c r="H23" s="293">
        <f>(E23+4*F23+G23)/6</f>
        <v>48</v>
      </c>
      <c r="I23" s="293">
        <f>(G23-E23)/6</f>
        <v>8</v>
      </c>
      <c r="J23" s="293">
        <f>H23-1.96*I23</f>
        <v>32.32</v>
      </c>
      <c r="K23" s="293">
        <f>H23+1.96*I23</f>
        <v>63.68</v>
      </c>
    </row>
    <row r="24" spans="2:11" ht="30" customHeight="1" x14ac:dyDescent="0.25">
      <c r="B24" s="306"/>
      <c r="C24" s="209" t="s">
        <v>86</v>
      </c>
      <c r="D24" s="396" t="s">
        <v>301</v>
      </c>
      <c r="E24" s="294">
        <v>12</v>
      </c>
      <c r="F24" s="294">
        <v>20</v>
      </c>
      <c r="G24" s="294">
        <v>32</v>
      </c>
      <c r="H24" s="294">
        <f>(E24+4*F24+G24)/6</f>
        <v>20.666666666666668</v>
      </c>
      <c r="I24" s="294">
        <f>(G24-E24)/6</f>
        <v>3.3333333333333335</v>
      </c>
      <c r="J24" s="294">
        <f>H24-1.96*I24</f>
        <v>14.133333333333335</v>
      </c>
      <c r="K24" s="294">
        <f>H24+1.96*I24</f>
        <v>27.200000000000003</v>
      </c>
    </row>
    <row r="25" spans="2:11" x14ac:dyDescent="0.25">
      <c r="B25" s="306" t="s">
        <v>350</v>
      </c>
      <c r="C25" s="210" t="s">
        <v>493</v>
      </c>
      <c r="D25" s="397" t="s">
        <v>301</v>
      </c>
      <c r="E25" s="293">
        <v>12</v>
      </c>
      <c r="F25" s="293">
        <v>20</v>
      </c>
      <c r="G25" s="293">
        <v>32</v>
      </c>
      <c r="H25" s="293">
        <f>(E25+4*F25+G25)/6</f>
        <v>20.666666666666668</v>
      </c>
      <c r="I25" s="293">
        <f>(G25-E25)/6</f>
        <v>3.3333333333333335</v>
      </c>
      <c r="J25" s="293">
        <f>H25-1.96*I25</f>
        <v>14.133333333333335</v>
      </c>
      <c r="K25" s="293">
        <f>H25+1.96*I25</f>
        <v>27.200000000000003</v>
      </c>
    </row>
    <row r="26" spans="2:11" x14ac:dyDescent="0.25">
      <c r="B26" s="306"/>
      <c r="C26" s="209" t="s">
        <v>494</v>
      </c>
      <c r="D26" s="396" t="s">
        <v>536</v>
      </c>
      <c r="E26" s="294">
        <v>7.5</v>
      </c>
      <c r="F26" s="294">
        <v>12.5</v>
      </c>
      <c r="G26" s="294">
        <v>20</v>
      </c>
      <c r="H26" s="294">
        <f>(E26+4*F26+G26)/6</f>
        <v>12.916666666666666</v>
      </c>
      <c r="I26" s="294">
        <f>(G26-E26)/6</f>
        <v>2.0833333333333335</v>
      </c>
      <c r="J26" s="294">
        <f>H26-1.96*I26</f>
        <v>8.8333333333333321</v>
      </c>
      <c r="K26" s="294">
        <f>H26+1.96*I26</f>
        <v>17</v>
      </c>
    </row>
    <row r="27" spans="2:11" x14ac:dyDescent="0.25">
      <c r="B27" s="306" t="s">
        <v>351</v>
      </c>
      <c r="C27" s="210" t="s">
        <v>495</v>
      </c>
      <c r="D27" s="397" t="s">
        <v>301</v>
      </c>
      <c r="E27" s="293">
        <v>12</v>
      </c>
      <c r="F27" s="293">
        <v>20</v>
      </c>
      <c r="G27" s="293">
        <v>32</v>
      </c>
      <c r="H27" s="293">
        <f>(E27+4*F27+G27)/6</f>
        <v>20.666666666666668</v>
      </c>
      <c r="I27" s="293">
        <f>(G27-E27)/6</f>
        <v>3.3333333333333335</v>
      </c>
      <c r="J27" s="293">
        <f>H27-1.96*I27</f>
        <v>14.133333333333335</v>
      </c>
      <c r="K27" s="293">
        <f>H27+1.96*I27</f>
        <v>27.200000000000003</v>
      </c>
    </row>
    <row r="28" spans="2:11" x14ac:dyDescent="0.25">
      <c r="B28" s="306"/>
      <c r="C28" s="209" t="s">
        <v>496</v>
      </c>
      <c r="D28" s="396" t="s">
        <v>536</v>
      </c>
      <c r="E28" s="294">
        <v>7.5</v>
      </c>
      <c r="F28" s="294">
        <v>12.5</v>
      </c>
      <c r="G28" s="294">
        <v>20</v>
      </c>
      <c r="H28" s="294">
        <f>(E28+4*F28+G28)/6</f>
        <v>12.916666666666666</v>
      </c>
      <c r="I28" s="294">
        <f>(G28-E28)/6</f>
        <v>2.0833333333333335</v>
      </c>
      <c r="J28" s="294">
        <f>H28-1.96*I28</f>
        <v>8.8333333333333321</v>
      </c>
      <c r="K28" s="294">
        <f>H28+1.96*I28</f>
        <v>17</v>
      </c>
    </row>
    <row r="29" spans="2:11" x14ac:dyDescent="0.25">
      <c r="B29" s="263" t="s">
        <v>83</v>
      </c>
      <c r="C29" s="308"/>
      <c r="D29" s="329"/>
      <c r="E29" s="309">
        <f>SUM(E8:E28)</f>
        <v>229</v>
      </c>
      <c r="F29" s="309">
        <f>SUM(F8:F28)</f>
        <v>398</v>
      </c>
      <c r="G29" s="309">
        <f>SUM(G8:G28)</f>
        <v>634</v>
      </c>
      <c r="H29" s="309">
        <f>SUM(H8:H28)</f>
        <v>409.16666666666674</v>
      </c>
      <c r="I29" s="309">
        <f>SQRT(SUMSQ(I8:I28))</f>
        <v>16.380035273330627</v>
      </c>
      <c r="J29" s="309">
        <f>H29-1.96*I29</f>
        <v>377.06179753093869</v>
      </c>
      <c r="K29" s="309">
        <f>H29+1.96*I29</f>
        <v>441.27153580239479</v>
      </c>
    </row>
    <row r="31" spans="2:11" ht="15.75" x14ac:dyDescent="0.25">
      <c r="B31" s="310" t="s">
        <v>508</v>
      </c>
      <c r="C31" s="252"/>
      <c r="D31" s="252"/>
      <c r="E31" s="252"/>
      <c r="F31" s="252"/>
      <c r="G31" s="252"/>
      <c r="H31" s="252"/>
      <c r="I31" s="252"/>
      <c r="J31" s="252"/>
      <c r="K31" s="252"/>
    </row>
    <row r="32" spans="2:11" x14ac:dyDescent="0.25">
      <c r="B32" s="311" t="s">
        <v>501</v>
      </c>
      <c r="C32" s="311"/>
      <c r="D32" s="311"/>
      <c r="E32" s="311" t="s">
        <v>79</v>
      </c>
      <c r="F32" s="311"/>
      <c r="G32" s="311" t="s">
        <v>84</v>
      </c>
      <c r="H32" s="311"/>
      <c r="I32" s="311" t="s">
        <v>85</v>
      </c>
      <c r="J32" s="311"/>
      <c r="K32" s="311" t="s">
        <v>11</v>
      </c>
    </row>
    <row r="33" spans="2:11" ht="18.75" x14ac:dyDescent="0.3">
      <c r="B33" s="312">
        <f>H29</f>
        <v>409.16666666666674</v>
      </c>
      <c r="C33" s="312"/>
      <c r="D33" s="313"/>
      <c r="E33" s="312">
        <f>I29</f>
        <v>16.380035273330627</v>
      </c>
      <c r="F33" s="312"/>
      <c r="G33" s="312">
        <f>J29</f>
        <v>377.06179753093869</v>
      </c>
      <c r="H33" s="313"/>
      <c r="I33" s="312">
        <f>K29</f>
        <v>441.27153580239479</v>
      </c>
      <c r="J33" s="313"/>
      <c r="K33" s="313" t="s">
        <v>300</v>
      </c>
    </row>
    <row r="34" spans="2:11" x14ac:dyDescent="0.25">
      <c r="C34" s="298"/>
    </row>
    <row r="35" spans="2:11" ht="15.75" x14ac:dyDescent="0.25">
      <c r="B35" s="204" t="s">
        <v>510</v>
      </c>
      <c r="C35" s="202"/>
      <c r="D35" s="202"/>
      <c r="E35" s="202"/>
      <c r="F35" s="202"/>
      <c r="G35" s="202"/>
      <c r="H35" s="202"/>
      <c r="I35" s="202"/>
      <c r="J35" s="202"/>
      <c r="K35" s="202"/>
    </row>
    <row r="36" spans="2:11" ht="51.75" x14ac:dyDescent="0.25">
      <c r="B36" s="315" t="s">
        <v>511</v>
      </c>
    </row>
    <row r="38" spans="2:11" x14ac:dyDescent="0.25">
      <c r="B38" s="208" t="s">
        <v>509</v>
      </c>
      <c r="C38" s="208" t="s">
        <v>512</v>
      </c>
      <c r="D38" s="208"/>
      <c r="E38" s="208" t="s">
        <v>513</v>
      </c>
      <c r="F38" s="208" t="s">
        <v>514</v>
      </c>
      <c r="G38" s="208" t="s">
        <v>515</v>
      </c>
    </row>
    <row r="39" spans="2:11" ht="30" x14ac:dyDescent="0.25">
      <c r="B39" s="317" t="s">
        <v>75</v>
      </c>
      <c r="C39" s="317" t="s">
        <v>516</v>
      </c>
      <c r="D39" s="317"/>
      <c r="E39" s="317" t="s">
        <v>517</v>
      </c>
      <c r="F39" s="317" t="s">
        <v>518</v>
      </c>
      <c r="G39" s="317" t="s">
        <v>519</v>
      </c>
    </row>
    <row r="40" spans="2:11" ht="30" x14ac:dyDescent="0.25">
      <c r="B40" s="318" t="s">
        <v>76</v>
      </c>
      <c r="C40" s="318" t="s">
        <v>520</v>
      </c>
      <c r="D40" s="318"/>
      <c r="E40" s="318" t="s">
        <v>521</v>
      </c>
      <c r="F40" s="318" t="s">
        <v>522</v>
      </c>
      <c r="G40" s="318" t="s">
        <v>523</v>
      </c>
    </row>
    <row r="41" spans="2:11" ht="30" x14ac:dyDescent="0.25">
      <c r="B41" s="319" t="s">
        <v>77</v>
      </c>
      <c r="C41" s="319" t="s">
        <v>524</v>
      </c>
      <c r="D41" s="319"/>
      <c r="E41" s="319" t="s">
        <v>525</v>
      </c>
      <c r="F41" s="319" t="s">
        <v>526</v>
      </c>
      <c r="G41" s="319" t="s">
        <v>527</v>
      </c>
    </row>
    <row r="42" spans="2:11" ht="39.950000000000003" customHeight="1" x14ac:dyDescent="0.25">
      <c r="B42" s="320" t="s">
        <v>498</v>
      </c>
      <c r="C42" s="320" t="s">
        <v>499</v>
      </c>
      <c r="D42" s="320"/>
      <c r="E42" s="320" t="s">
        <v>528</v>
      </c>
      <c r="F42" s="320" t="s">
        <v>529</v>
      </c>
      <c r="G42" s="320" t="s">
        <v>500</v>
      </c>
    </row>
    <row r="44" spans="2:11" x14ac:dyDescent="0.25">
      <c r="B44" s="296" t="s">
        <v>530</v>
      </c>
      <c r="C44" s="296"/>
      <c r="D44" s="300"/>
    </row>
    <row r="45" spans="2:11" x14ac:dyDescent="0.25">
      <c r="B45" s="208" t="s">
        <v>153</v>
      </c>
      <c r="C45" s="208" t="s">
        <v>531</v>
      </c>
      <c r="D45" s="208"/>
      <c r="E45" s="208" t="s">
        <v>532</v>
      </c>
      <c r="F45" s="208" t="s">
        <v>533</v>
      </c>
      <c r="G45" s="208" t="s">
        <v>534</v>
      </c>
      <c r="H45" s="208" t="s">
        <v>535</v>
      </c>
    </row>
    <row r="46" spans="2:11" x14ac:dyDescent="0.25">
      <c r="B46" s="299" t="s">
        <v>536</v>
      </c>
      <c r="C46" s="299" t="s">
        <v>537</v>
      </c>
      <c r="D46" s="299"/>
      <c r="E46" s="326" t="s">
        <v>558</v>
      </c>
      <c r="F46" s="326" t="s">
        <v>559</v>
      </c>
      <c r="G46" s="326" t="s">
        <v>538</v>
      </c>
      <c r="H46" s="326" t="s">
        <v>560</v>
      </c>
    </row>
    <row r="47" spans="2:11" x14ac:dyDescent="0.25">
      <c r="B47" s="297" t="s">
        <v>301</v>
      </c>
      <c r="C47" s="297" t="s">
        <v>539</v>
      </c>
      <c r="D47" s="297"/>
      <c r="E47" s="327" t="s">
        <v>559</v>
      </c>
      <c r="F47" s="327" t="s">
        <v>540</v>
      </c>
      <c r="G47" s="327" t="s">
        <v>541</v>
      </c>
      <c r="H47" s="327" t="s">
        <v>560</v>
      </c>
    </row>
    <row r="48" spans="2:11" x14ac:dyDescent="0.25">
      <c r="B48" s="316" t="s">
        <v>542</v>
      </c>
      <c r="C48" s="316" t="s">
        <v>543</v>
      </c>
      <c r="D48" s="316"/>
      <c r="E48" s="328" t="s">
        <v>540</v>
      </c>
      <c r="F48" s="328" t="s">
        <v>544</v>
      </c>
      <c r="G48" s="328" t="s">
        <v>545</v>
      </c>
      <c r="H48" s="328" t="s">
        <v>560</v>
      </c>
    </row>
    <row r="50" spans="2:6" x14ac:dyDescent="0.25">
      <c r="B50" s="323" t="s">
        <v>546</v>
      </c>
    </row>
    <row r="51" spans="2:6" x14ac:dyDescent="0.25">
      <c r="B51" s="324" t="s">
        <v>547</v>
      </c>
      <c r="C51" s="324" t="s">
        <v>548</v>
      </c>
      <c r="D51" s="324"/>
      <c r="E51" s="324" t="s">
        <v>549</v>
      </c>
      <c r="F51" s="324" t="s">
        <v>550</v>
      </c>
    </row>
    <row r="52" spans="2:6" ht="30" x14ac:dyDescent="0.25">
      <c r="B52" s="320" t="s">
        <v>551</v>
      </c>
      <c r="C52" s="320" t="s">
        <v>552</v>
      </c>
      <c r="D52" s="320"/>
      <c r="E52" s="320" t="s">
        <v>553</v>
      </c>
      <c r="F52" s="320" t="s">
        <v>554</v>
      </c>
    </row>
    <row r="53" spans="2:6" ht="30" x14ac:dyDescent="0.25">
      <c r="B53" s="318" t="s">
        <v>503</v>
      </c>
      <c r="C53" s="318" t="s">
        <v>555</v>
      </c>
      <c r="D53" s="318"/>
      <c r="E53" s="318" t="s">
        <v>556</v>
      </c>
      <c r="F53" s="318" t="s">
        <v>557</v>
      </c>
    </row>
    <row r="55" spans="2:6" ht="51.75" x14ac:dyDescent="0.25">
      <c r="B55" s="325" t="s">
        <v>562</v>
      </c>
    </row>
    <row r="62" spans="2:6" ht="39.950000000000003" customHeight="1" x14ac:dyDescent="0.25"/>
    <row r="74" ht="45" customHeight="1" x14ac:dyDescent="0.25"/>
  </sheetData>
  <mergeCells count="16">
    <mergeCell ref="B2:K2"/>
    <mergeCell ref="B3:K3"/>
    <mergeCell ref="B6:K6"/>
    <mergeCell ref="B29:C29"/>
    <mergeCell ref="B31:K31"/>
    <mergeCell ref="B35:K35"/>
    <mergeCell ref="B8:B9"/>
    <mergeCell ref="B44:C44"/>
    <mergeCell ref="B27:B28"/>
    <mergeCell ref="B10:B12"/>
    <mergeCell ref="B13:B14"/>
    <mergeCell ref="B15:B17"/>
    <mergeCell ref="B18:B19"/>
    <mergeCell ref="B21:B22"/>
    <mergeCell ref="B23:B24"/>
    <mergeCell ref="B25:B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3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2.85546875" customWidth="1"/>
    <col min="2" max="2" width="24.7109375" bestFit="1" customWidth="1"/>
    <col min="3" max="3" width="39.5703125" bestFit="1" customWidth="1"/>
    <col min="4" max="4" width="23.140625" bestFit="1" customWidth="1"/>
    <col min="5" max="5" width="19" customWidth="1"/>
    <col min="6" max="6" width="30.42578125" bestFit="1" customWidth="1"/>
    <col min="7" max="7" width="14" bestFit="1" customWidth="1"/>
    <col min="8" max="8" width="22.85546875" bestFit="1" customWidth="1"/>
    <col min="9" max="9" width="7.7109375" bestFit="1" customWidth="1"/>
  </cols>
  <sheetData>
    <row r="1" spans="1:9" x14ac:dyDescent="0.25">
      <c r="A1" s="124"/>
      <c r="B1" s="330"/>
      <c r="C1" s="330"/>
      <c r="D1" s="330"/>
      <c r="E1" s="330"/>
      <c r="F1" s="330"/>
      <c r="G1" s="330"/>
      <c r="H1" s="330"/>
      <c r="I1" s="330"/>
    </row>
    <row r="2" spans="1:9" ht="25.5" x14ac:dyDescent="0.25">
      <c r="A2" s="124"/>
      <c r="B2" s="331" t="s">
        <v>567</v>
      </c>
      <c r="C2" s="331"/>
      <c r="D2" s="331"/>
      <c r="E2" s="331"/>
      <c r="F2" s="331"/>
      <c r="G2" s="331"/>
      <c r="H2" s="331"/>
      <c r="I2" s="331"/>
    </row>
    <row r="3" spans="1:9" x14ac:dyDescent="0.25">
      <c r="A3" s="124"/>
      <c r="B3" s="332" t="s">
        <v>568</v>
      </c>
      <c r="C3" s="332"/>
      <c r="D3" s="332"/>
      <c r="E3" s="332"/>
      <c r="F3" s="332"/>
      <c r="G3" s="332"/>
      <c r="H3" s="332"/>
      <c r="I3" s="332"/>
    </row>
    <row r="4" spans="1:9" x14ac:dyDescent="0.25">
      <c r="A4" s="124"/>
      <c r="B4" s="330"/>
      <c r="C4" s="330"/>
      <c r="D4" s="330"/>
      <c r="E4" s="330"/>
      <c r="F4" s="330"/>
      <c r="G4" s="330"/>
      <c r="H4" s="330"/>
      <c r="I4" s="330"/>
    </row>
    <row r="5" spans="1:9" ht="15.75" x14ac:dyDescent="0.25">
      <c r="A5" s="124"/>
      <c r="B5" s="333" t="s">
        <v>569</v>
      </c>
      <c r="C5" s="333"/>
      <c r="D5" s="333"/>
      <c r="E5" s="333"/>
      <c r="F5" s="333"/>
      <c r="G5" s="333"/>
      <c r="H5" s="333"/>
      <c r="I5" s="333"/>
    </row>
    <row r="6" spans="1:9" x14ac:dyDescent="0.25">
      <c r="B6" s="208" t="s">
        <v>504</v>
      </c>
      <c r="C6" s="208" t="s">
        <v>505</v>
      </c>
      <c r="D6" s="208" t="s">
        <v>153</v>
      </c>
      <c r="E6" s="208" t="s">
        <v>75</v>
      </c>
      <c r="F6" s="208" t="s">
        <v>76</v>
      </c>
      <c r="G6" s="208" t="s">
        <v>77</v>
      </c>
      <c r="H6" s="208" t="s">
        <v>570</v>
      </c>
      <c r="I6" s="208" t="s">
        <v>10</v>
      </c>
    </row>
    <row r="7" spans="1:9" x14ac:dyDescent="0.25">
      <c r="B7" s="210" t="s">
        <v>342</v>
      </c>
      <c r="C7" s="210" t="s">
        <v>477</v>
      </c>
      <c r="D7" s="210" t="s">
        <v>301</v>
      </c>
      <c r="E7" s="216">
        <v>12</v>
      </c>
      <c r="F7" s="216">
        <v>20</v>
      </c>
      <c r="G7" s="216">
        <v>32</v>
      </c>
      <c r="H7" s="216">
        <f>(E7+F7+G7)/3</f>
        <v>21.333333333333332</v>
      </c>
      <c r="I7" s="216">
        <f>ROUND((G7-E7)/6,1)</f>
        <v>3.3</v>
      </c>
    </row>
    <row r="8" spans="1:9" x14ac:dyDescent="0.25">
      <c r="B8" s="209" t="s">
        <v>342</v>
      </c>
      <c r="C8" s="209" t="s">
        <v>478</v>
      </c>
      <c r="D8" s="209" t="s">
        <v>536</v>
      </c>
      <c r="E8" s="215">
        <v>7.5</v>
      </c>
      <c r="F8" s="215">
        <v>12.5</v>
      </c>
      <c r="G8" s="215">
        <v>20</v>
      </c>
      <c r="H8" s="215">
        <f>(E8+F8+G8)/3</f>
        <v>13.333333333333334</v>
      </c>
      <c r="I8" s="215">
        <f>ROUND((G8-E8)/6,1)</f>
        <v>2.1</v>
      </c>
    </row>
    <row r="9" spans="1:9" x14ac:dyDescent="0.25">
      <c r="B9" s="210" t="s">
        <v>343</v>
      </c>
      <c r="C9" s="210" t="s">
        <v>479</v>
      </c>
      <c r="D9" s="210" t="s">
        <v>301</v>
      </c>
      <c r="E9" s="216">
        <v>12</v>
      </c>
      <c r="F9" s="216">
        <v>20</v>
      </c>
      <c r="G9" s="216">
        <v>32</v>
      </c>
      <c r="H9" s="216">
        <f>(E9+F9+G9)/3</f>
        <v>21.333333333333332</v>
      </c>
      <c r="I9" s="216">
        <f>ROUND((G9-E9)/6,1)</f>
        <v>3.3</v>
      </c>
    </row>
    <row r="10" spans="1:9" x14ac:dyDescent="0.25">
      <c r="B10" s="209" t="s">
        <v>343</v>
      </c>
      <c r="C10" s="209" t="s">
        <v>480</v>
      </c>
      <c r="D10" s="209" t="s">
        <v>301</v>
      </c>
      <c r="E10" s="215">
        <v>12</v>
      </c>
      <c r="F10" s="215">
        <v>20</v>
      </c>
      <c r="G10" s="215">
        <v>32</v>
      </c>
      <c r="H10" s="215">
        <f>(E10+F10+G10)/3</f>
        <v>21.333333333333332</v>
      </c>
      <c r="I10" s="215">
        <f>ROUND((G10-E10)/6,1)</f>
        <v>3.3</v>
      </c>
    </row>
    <row r="11" spans="1:9" x14ac:dyDescent="0.25">
      <c r="B11" s="210" t="s">
        <v>343</v>
      </c>
      <c r="C11" s="210" t="s">
        <v>481</v>
      </c>
      <c r="D11" s="210" t="s">
        <v>536</v>
      </c>
      <c r="E11" s="216">
        <v>7.5</v>
      </c>
      <c r="F11" s="216">
        <v>12.5</v>
      </c>
      <c r="G11" s="216">
        <v>20</v>
      </c>
      <c r="H11" s="216">
        <f>(E11+F11+G11)/3</f>
        <v>13.333333333333334</v>
      </c>
      <c r="I11" s="216">
        <f>ROUND((G11-E11)/6,1)</f>
        <v>2.1</v>
      </c>
    </row>
    <row r="12" spans="1:9" x14ac:dyDescent="0.25">
      <c r="B12" s="209" t="s">
        <v>344</v>
      </c>
      <c r="C12" s="209" t="s">
        <v>482</v>
      </c>
      <c r="D12" s="209" t="s">
        <v>536</v>
      </c>
      <c r="E12" s="215">
        <v>7.5</v>
      </c>
      <c r="F12" s="215">
        <v>12.5</v>
      </c>
      <c r="G12" s="215">
        <v>20</v>
      </c>
      <c r="H12" s="215">
        <f>(E12+F12+G12)/3</f>
        <v>13.333333333333334</v>
      </c>
      <c r="I12" s="215">
        <f>ROUND((G12-E12)/6,1)</f>
        <v>2.1</v>
      </c>
    </row>
    <row r="13" spans="1:9" x14ac:dyDescent="0.25">
      <c r="B13" s="210" t="s">
        <v>344</v>
      </c>
      <c r="C13" s="210" t="s">
        <v>483</v>
      </c>
      <c r="D13" s="210" t="s">
        <v>542</v>
      </c>
      <c r="E13" s="216">
        <v>20</v>
      </c>
      <c r="F13" s="216">
        <v>40</v>
      </c>
      <c r="G13" s="216">
        <v>64</v>
      </c>
      <c r="H13" s="216">
        <f>(E13+F13+G13)/3</f>
        <v>41.333333333333336</v>
      </c>
      <c r="I13" s="216">
        <f>ROUND((G13-E13)/6,1)</f>
        <v>7.3</v>
      </c>
    </row>
    <row r="14" spans="1:9" x14ac:dyDescent="0.25">
      <c r="B14" s="209" t="s">
        <v>345</v>
      </c>
      <c r="C14" s="209" t="s">
        <v>484</v>
      </c>
      <c r="D14" s="209" t="s">
        <v>536</v>
      </c>
      <c r="E14" s="215">
        <v>5</v>
      </c>
      <c r="F14" s="215">
        <v>10</v>
      </c>
      <c r="G14" s="215">
        <v>18</v>
      </c>
      <c r="H14" s="215">
        <f>(E14+F14+G14)/3</f>
        <v>11</v>
      </c>
      <c r="I14" s="215">
        <f>ROUND((G14-E14)/6,1)</f>
        <v>2.2000000000000002</v>
      </c>
    </row>
    <row r="15" spans="1:9" x14ac:dyDescent="0.25">
      <c r="B15" s="210" t="s">
        <v>345</v>
      </c>
      <c r="C15" s="210" t="s">
        <v>485</v>
      </c>
      <c r="D15" s="210" t="s">
        <v>301</v>
      </c>
      <c r="E15" s="216">
        <v>12</v>
      </c>
      <c r="F15" s="216">
        <v>20</v>
      </c>
      <c r="G15" s="216">
        <v>32</v>
      </c>
      <c r="H15" s="216">
        <f>(E15+F15+G15)/3</f>
        <v>21.333333333333332</v>
      </c>
      <c r="I15" s="216">
        <f>ROUND((G15-E15)/6,1)</f>
        <v>3.3</v>
      </c>
    </row>
    <row r="16" spans="1:9" x14ac:dyDescent="0.25">
      <c r="B16" s="209" t="s">
        <v>345</v>
      </c>
      <c r="C16" s="209" t="s">
        <v>486</v>
      </c>
      <c r="D16" s="209" t="s">
        <v>536</v>
      </c>
      <c r="E16" s="215">
        <v>7.5</v>
      </c>
      <c r="F16" s="215">
        <v>12.5</v>
      </c>
      <c r="G16" s="215">
        <v>20</v>
      </c>
      <c r="H16" s="215">
        <f>(E16+F16+G16)/3</f>
        <v>13.333333333333334</v>
      </c>
      <c r="I16" s="215">
        <f>ROUND((G16-E16)/6,1)</f>
        <v>2.1</v>
      </c>
    </row>
    <row r="17" spans="2:9" x14ac:dyDescent="0.25">
      <c r="B17" s="210" t="s">
        <v>346</v>
      </c>
      <c r="C17" s="210" t="s">
        <v>487</v>
      </c>
      <c r="D17" s="210" t="s">
        <v>301</v>
      </c>
      <c r="E17" s="216">
        <v>12</v>
      </c>
      <c r="F17" s="216">
        <v>20</v>
      </c>
      <c r="G17" s="216">
        <v>32</v>
      </c>
      <c r="H17" s="216">
        <f>(E17+F17+G17)/3</f>
        <v>21.333333333333332</v>
      </c>
      <c r="I17" s="216">
        <f>ROUND((G17-E17)/6,1)</f>
        <v>3.3</v>
      </c>
    </row>
    <row r="18" spans="2:9" x14ac:dyDescent="0.25">
      <c r="B18" s="209" t="s">
        <v>346</v>
      </c>
      <c r="C18" s="209" t="s">
        <v>488</v>
      </c>
      <c r="D18" s="209" t="s">
        <v>536</v>
      </c>
      <c r="E18" s="215">
        <v>7.5</v>
      </c>
      <c r="F18" s="215">
        <v>12.5</v>
      </c>
      <c r="G18" s="215">
        <v>20</v>
      </c>
      <c r="H18" s="215">
        <f>(E18+F18+G18)/3</f>
        <v>13.333333333333334</v>
      </c>
      <c r="I18" s="215">
        <f>ROUND((G18-E18)/6,1)</f>
        <v>2.1</v>
      </c>
    </row>
    <row r="19" spans="2:9" x14ac:dyDescent="0.25">
      <c r="B19" s="210" t="s">
        <v>347</v>
      </c>
      <c r="C19" s="210" t="s">
        <v>489</v>
      </c>
      <c r="D19" s="210" t="s">
        <v>301</v>
      </c>
      <c r="E19" s="216">
        <v>12</v>
      </c>
      <c r="F19" s="216">
        <v>20</v>
      </c>
      <c r="G19" s="216">
        <v>32</v>
      </c>
      <c r="H19" s="216">
        <f>(E19+F19+G19)/3</f>
        <v>21.333333333333332</v>
      </c>
      <c r="I19" s="216">
        <f>ROUND((G19-E19)/6,1)</f>
        <v>3.3</v>
      </c>
    </row>
    <row r="20" spans="2:9" x14ac:dyDescent="0.25">
      <c r="B20" s="209" t="s">
        <v>348</v>
      </c>
      <c r="C20" s="209" t="s">
        <v>490</v>
      </c>
      <c r="D20" s="209" t="s">
        <v>301</v>
      </c>
      <c r="E20" s="215">
        <v>12</v>
      </c>
      <c r="F20" s="215">
        <v>20</v>
      </c>
      <c r="G20" s="215">
        <v>32</v>
      </c>
      <c r="H20" s="215">
        <f>(E20+F20+G20)/3</f>
        <v>21.333333333333332</v>
      </c>
      <c r="I20" s="215">
        <f>ROUND((G20-E20)/6,1)</f>
        <v>3.3</v>
      </c>
    </row>
    <row r="21" spans="2:9" x14ac:dyDescent="0.25">
      <c r="B21" s="210" t="s">
        <v>348</v>
      </c>
      <c r="C21" s="210" t="s">
        <v>491</v>
      </c>
      <c r="D21" s="210" t="s">
        <v>536</v>
      </c>
      <c r="E21" s="216">
        <v>7.5</v>
      </c>
      <c r="F21" s="216">
        <v>12.5</v>
      </c>
      <c r="G21" s="216">
        <v>20</v>
      </c>
      <c r="H21" s="216">
        <f>(E21+F21+G21)/3</f>
        <v>13.333333333333334</v>
      </c>
      <c r="I21" s="216">
        <f>ROUND((G21-E21)/6,1)</f>
        <v>2.1</v>
      </c>
    </row>
    <row r="22" spans="2:9" x14ac:dyDescent="0.25">
      <c r="B22" s="209" t="s">
        <v>349</v>
      </c>
      <c r="C22" s="209" t="s">
        <v>492</v>
      </c>
      <c r="D22" s="209" t="s">
        <v>542</v>
      </c>
      <c r="E22" s="215">
        <v>24</v>
      </c>
      <c r="F22" s="215">
        <v>48</v>
      </c>
      <c r="G22" s="215">
        <v>72</v>
      </c>
      <c r="H22" s="215">
        <f>(E22+F22+G22)/3</f>
        <v>48</v>
      </c>
      <c r="I22" s="215">
        <f>ROUND((G22-E22)/6,1)</f>
        <v>8</v>
      </c>
    </row>
    <row r="23" spans="2:9" x14ac:dyDescent="0.25">
      <c r="B23" s="210" t="s">
        <v>349</v>
      </c>
      <c r="C23" s="210" t="s">
        <v>86</v>
      </c>
      <c r="D23" s="210" t="s">
        <v>301</v>
      </c>
      <c r="E23" s="216">
        <v>12</v>
      </c>
      <c r="F23" s="216">
        <v>20</v>
      </c>
      <c r="G23" s="216">
        <v>32</v>
      </c>
      <c r="H23" s="216">
        <f>(E23+F23+G23)/3</f>
        <v>21.333333333333332</v>
      </c>
      <c r="I23" s="216">
        <f>ROUND((G23-E23)/6,1)</f>
        <v>3.3</v>
      </c>
    </row>
    <row r="24" spans="2:9" x14ac:dyDescent="0.25">
      <c r="B24" s="209" t="s">
        <v>350</v>
      </c>
      <c r="C24" s="209" t="s">
        <v>493</v>
      </c>
      <c r="D24" s="209" t="s">
        <v>301</v>
      </c>
      <c r="E24" s="215">
        <v>12</v>
      </c>
      <c r="F24" s="215">
        <v>20</v>
      </c>
      <c r="G24" s="215">
        <v>32</v>
      </c>
      <c r="H24" s="215">
        <f>(E24+F24+G24)/3</f>
        <v>21.333333333333332</v>
      </c>
      <c r="I24" s="215">
        <f>ROUND((G24-E24)/6,1)</f>
        <v>3.3</v>
      </c>
    </row>
    <row r="25" spans="2:9" x14ac:dyDescent="0.25">
      <c r="B25" s="210" t="s">
        <v>350</v>
      </c>
      <c r="C25" s="210" t="s">
        <v>494</v>
      </c>
      <c r="D25" s="210" t="s">
        <v>536</v>
      </c>
      <c r="E25" s="216">
        <v>7.5</v>
      </c>
      <c r="F25" s="216">
        <v>12.5</v>
      </c>
      <c r="G25" s="216">
        <v>20</v>
      </c>
      <c r="H25" s="216">
        <f>(E25+F25+G25)/3</f>
        <v>13.333333333333334</v>
      </c>
      <c r="I25" s="216">
        <f>ROUND((G25-E25)/6,1)</f>
        <v>2.1</v>
      </c>
    </row>
    <row r="26" spans="2:9" x14ac:dyDescent="0.25">
      <c r="B26" s="209" t="s">
        <v>351</v>
      </c>
      <c r="C26" s="209" t="s">
        <v>495</v>
      </c>
      <c r="D26" s="209" t="s">
        <v>301</v>
      </c>
      <c r="E26" s="215">
        <v>12</v>
      </c>
      <c r="F26" s="215">
        <v>20</v>
      </c>
      <c r="G26" s="215">
        <v>32</v>
      </c>
      <c r="H26" s="215">
        <f>(E26+F26+G26)/3</f>
        <v>21.333333333333332</v>
      </c>
      <c r="I26" s="215">
        <f>ROUND((G26-E26)/6,1)</f>
        <v>3.3</v>
      </c>
    </row>
    <row r="27" spans="2:9" x14ac:dyDescent="0.25">
      <c r="B27" s="210" t="s">
        <v>351</v>
      </c>
      <c r="C27" s="210" t="s">
        <v>496</v>
      </c>
      <c r="D27" s="210" t="s">
        <v>536</v>
      </c>
      <c r="E27" s="216">
        <v>7.5</v>
      </c>
      <c r="F27" s="216">
        <v>12.5</v>
      </c>
      <c r="G27" s="216">
        <v>20</v>
      </c>
      <c r="H27" s="216">
        <f>(E27+F27+G27)/3</f>
        <v>13.333333333333334</v>
      </c>
      <c r="I27" s="216">
        <f>ROUND((G27-E27)/6,1)</f>
        <v>2.1</v>
      </c>
    </row>
    <row r="28" spans="2:9" x14ac:dyDescent="0.25">
      <c r="B28" s="263" t="s">
        <v>83</v>
      </c>
      <c r="C28" s="263"/>
      <c r="D28" s="211"/>
      <c r="E28" s="217">
        <f>SUM(E7:E27)</f>
        <v>229</v>
      </c>
      <c r="F28" s="217">
        <f>SUM(F7:F27)</f>
        <v>398</v>
      </c>
      <c r="G28" s="217">
        <f>SUM(G7:G27)</f>
        <v>634</v>
      </c>
      <c r="H28" s="217">
        <f>SUM(H7:H27)</f>
        <v>420.33333333333326</v>
      </c>
      <c r="I28" s="217">
        <f>ROUND(SQRT(SUMSQ(I7:I27)),1)</f>
        <v>16.3</v>
      </c>
    </row>
    <row r="30" spans="2:9" x14ac:dyDescent="0.25">
      <c r="B30" s="341" t="s">
        <v>571</v>
      </c>
      <c r="C30" s="342"/>
      <c r="D30" s="342"/>
      <c r="E30" s="342"/>
      <c r="F30" s="342"/>
      <c r="G30" s="342"/>
      <c r="H30" s="342"/>
      <c r="I30" s="343"/>
    </row>
    <row r="31" spans="2:9" x14ac:dyDescent="0.25">
      <c r="B31" s="336" t="s">
        <v>572</v>
      </c>
      <c r="C31" s="322"/>
      <c r="D31" s="336"/>
      <c r="E31" s="322"/>
      <c r="F31" s="336" t="s">
        <v>79</v>
      </c>
      <c r="G31" s="322"/>
      <c r="H31" s="336" t="s">
        <v>563</v>
      </c>
      <c r="I31" s="322"/>
    </row>
    <row r="32" spans="2:9" ht="23.25" x14ac:dyDescent="0.35">
      <c r="B32" s="344">
        <f>H28</f>
        <v>420.33333333333326</v>
      </c>
      <c r="C32" s="322"/>
      <c r="D32" s="334"/>
      <c r="E32" s="322"/>
      <c r="F32" s="345">
        <f>I28</f>
        <v>16.3</v>
      </c>
      <c r="G32" s="322"/>
      <c r="H32" s="335" t="str">
        <f>ROUND(B32-1.96*F32,1)&amp;" – "&amp;ROUND(B32+1.96*F32,1)</f>
        <v>388.4 – 452.3</v>
      </c>
      <c r="I32" s="322"/>
    </row>
    <row r="34" spans="2:9" x14ac:dyDescent="0.25">
      <c r="B34" s="295" t="s">
        <v>573</v>
      </c>
      <c r="C34" s="252"/>
      <c r="D34" s="252"/>
      <c r="E34" s="252"/>
      <c r="F34" s="252"/>
      <c r="G34" s="252"/>
      <c r="H34" s="252"/>
      <c r="I34" s="252"/>
    </row>
    <row r="35" spans="2:9" x14ac:dyDescent="0.25">
      <c r="B35" s="337" t="s">
        <v>564</v>
      </c>
      <c r="C35" s="337" t="s">
        <v>497</v>
      </c>
      <c r="D35" s="337" t="s">
        <v>221</v>
      </c>
      <c r="E35" s="337" t="s">
        <v>548</v>
      </c>
      <c r="F35" s="337" t="s">
        <v>502</v>
      </c>
      <c r="G35" s="264"/>
      <c r="H35" s="264"/>
      <c r="I35" s="264"/>
    </row>
    <row r="36" spans="2:9" x14ac:dyDescent="0.25">
      <c r="B36" s="210" t="s">
        <v>575</v>
      </c>
      <c r="C36" s="210" t="s">
        <v>565</v>
      </c>
      <c r="D36" s="210" t="s">
        <v>576</v>
      </c>
      <c r="E36" s="210" t="s">
        <v>577</v>
      </c>
      <c r="F36" s="210" t="s">
        <v>578</v>
      </c>
      <c r="G36" s="264"/>
      <c r="H36" s="264"/>
      <c r="I36" s="264"/>
    </row>
    <row r="39" spans="2:9" x14ac:dyDescent="0.25">
      <c r="B39" s="295" t="s">
        <v>566</v>
      </c>
      <c r="C39" s="252"/>
      <c r="D39" s="252"/>
      <c r="E39" s="252"/>
      <c r="F39" s="252"/>
      <c r="G39" s="252"/>
      <c r="H39" s="252"/>
      <c r="I39" s="252"/>
    </row>
    <row r="40" spans="2:9" x14ac:dyDescent="0.25">
      <c r="B40" s="337" t="s">
        <v>153</v>
      </c>
      <c r="C40" s="337" t="s">
        <v>531</v>
      </c>
      <c r="D40" s="337" t="s">
        <v>532</v>
      </c>
      <c r="E40" s="337" t="s">
        <v>533</v>
      </c>
      <c r="F40" s="337" t="s">
        <v>534</v>
      </c>
      <c r="G40" s="337" t="s">
        <v>535</v>
      </c>
      <c r="H40" s="264"/>
      <c r="I40" s="264"/>
    </row>
    <row r="41" spans="2:9" x14ac:dyDescent="0.25">
      <c r="B41" s="299" t="s">
        <v>536</v>
      </c>
      <c r="C41" s="299" t="s">
        <v>537</v>
      </c>
      <c r="D41" s="338" t="s">
        <v>558</v>
      </c>
      <c r="E41" s="338" t="s">
        <v>559</v>
      </c>
      <c r="F41" s="299" t="s">
        <v>538</v>
      </c>
      <c r="G41" s="338" t="s">
        <v>560</v>
      </c>
      <c r="H41" s="264"/>
      <c r="I41" s="264"/>
    </row>
    <row r="42" spans="2:9" x14ac:dyDescent="0.25">
      <c r="B42" s="297" t="s">
        <v>301</v>
      </c>
      <c r="C42" s="297" t="s">
        <v>539</v>
      </c>
      <c r="D42" s="339" t="s">
        <v>559</v>
      </c>
      <c r="E42" s="297" t="s">
        <v>540</v>
      </c>
      <c r="F42" s="297" t="s">
        <v>541</v>
      </c>
      <c r="G42" s="339" t="s">
        <v>560</v>
      </c>
      <c r="H42" s="264"/>
      <c r="I42" s="264"/>
    </row>
    <row r="43" spans="2:9" x14ac:dyDescent="0.25">
      <c r="B43" s="316" t="s">
        <v>542</v>
      </c>
      <c r="C43" s="316" t="s">
        <v>543</v>
      </c>
      <c r="D43" s="316" t="s">
        <v>540</v>
      </c>
      <c r="E43" s="316" t="s">
        <v>544</v>
      </c>
      <c r="F43" s="316" t="s">
        <v>545</v>
      </c>
      <c r="G43" s="340" t="s">
        <v>560</v>
      </c>
      <c r="H43" s="264"/>
      <c r="I43" s="264"/>
    </row>
  </sheetData>
  <mergeCells count="7">
    <mergeCell ref="B30:I30"/>
    <mergeCell ref="B34:I34"/>
    <mergeCell ref="B39:I39"/>
    <mergeCell ref="B2:I2"/>
    <mergeCell ref="B3:I3"/>
    <mergeCell ref="B5:I5"/>
    <mergeCell ref="B28:C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9"/>
  <sheetViews>
    <sheetView showGridLines="0" zoomScaleNormal="100" workbookViewId="0">
      <pane ySplit="12" topLeftCell="A13" activePane="bottomLeft" state="frozen"/>
      <selection pane="bottomLeft" activeCell="A13" sqref="A13"/>
    </sheetView>
  </sheetViews>
  <sheetFormatPr defaultRowHeight="15" x14ac:dyDescent="0.25"/>
  <cols>
    <col min="1" max="1" width="2.85546875" customWidth="1"/>
    <col min="2" max="2" width="38.140625" customWidth="1"/>
    <col min="3" max="3" width="47.5703125" customWidth="1"/>
    <col min="4" max="4" width="31.85546875" customWidth="1"/>
    <col min="5" max="5" width="47.5703125" customWidth="1"/>
    <col min="6" max="6" width="13.28515625" customWidth="1"/>
    <col min="7" max="7" width="15.28515625" customWidth="1"/>
    <col min="8" max="8" width="17.140625" customWidth="1"/>
    <col min="9" max="10" width="13.28515625" customWidth="1"/>
  </cols>
  <sheetData>
    <row r="1" spans="1:10" x14ac:dyDescent="0.25">
      <c r="A1" s="124"/>
      <c r="B1" s="6"/>
      <c r="C1" s="6"/>
      <c r="D1" s="6"/>
      <c r="E1" s="6"/>
      <c r="F1" s="6"/>
      <c r="G1" s="6"/>
      <c r="H1" s="6"/>
      <c r="I1" s="6"/>
      <c r="J1" s="6"/>
    </row>
    <row r="2" spans="1:10" ht="35.1" customHeight="1" x14ac:dyDescent="0.25">
      <c r="A2" s="6"/>
      <c r="B2" s="153" t="s">
        <v>87</v>
      </c>
      <c r="C2" s="142"/>
      <c r="D2" s="142"/>
      <c r="E2" s="142"/>
      <c r="F2" s="142"/>
      <c r="G2" s="142"/>
      <c r="H2" s="142"/>
      <c r="I2" s="142"/>
      <c r="J2" s="6"/>
    </row>
    <row r="3" spans="1:10" ht="24.95" customHeight="1" thickBot="1" x14ac:dyDescent="0.3">
      <c r="A3" s="6"/>
      <c r="B3" s="149" t="s">
        <v>88</v>
      </c>
      <c r="C3" s="150"/>
      <c r="D3" s="150"/>
      <c r="E3" s="150"/>
      <c r="F3" s="150"/>
      <c r="G3" s="150"/>
      <c r="H3" s="150"/>
      <c r="I3" s="150"/>
      <c r="J3" s="6"/>
    </row>
    <row r="4" spans="1:10" ht="8.1" customHeight="1" thickTop="1" x14ac:dyDescent="0.25">
      <c r="A4" s="6"/>
      <c r="B4" s="10"/>
      <c r="C4" s="10"/>
      <c r="D4" s="10"/>
      <c r="E4" s="10"/>
      <c r="F4" s="10"/>
      <c r="G4" s="10"/>
      <c r="H4" s="10"/>
      <c r="I4" s="10"/>
      <c r="J4" s="6"/>
    </row>
    <row r="5" spans="1:10" ht="27.95" customHeight="1" x14ac:dyDescent="0.3">
      <c r="A5" s="6"/>
      <c r="B5" s="152" t="s">
        <v>89</v>
      </c>
      <c r="C5" s="151"/>
      <c r="D5" s="151"/>
      <c r="E5" s="151"/>
      <c r="F5" s="151"/>
      <c r="G5" s="151"/>
      <c r="H5" s="151"/>
      <c r="I5" s="151"/>
      <c r="J5" s="6"/>
    </row>
    <row r="6" spans="1:10" ht="21.95" customHeight="1" x14ac:dyDescent="0.25">
      <c r="A6" s="6"/>
      <c r="B6" s="17" t="s">
        <v>90</v>
      </c>
      <c r="C6" s="392">
        <v>40</v>
      </c>
      <c r="D6" s="18" t="s">
        <v>91</v>
      </c>
      <c r="E6" s="6"/>
      <c r="F6" s="6"/>
      <c r="G6" s="6"/>
      <c r="H6" s="6"/>
      <c r="I6" s="6"/>
      <c r="J6" s="6"/>
    </row>
    <row r="7" spans="1:10" ht="21.95" customHeight="1" x14ac:dyDescent="0.25">
      <c r="A7" s="6"/>
      <c r="B7" s="19" t="s">
        <v>92</v>
      </c>
      <c r="C7" s="393">
        <v>480</v>
      </c>
      <c r="D7" s="20" t="s">
        <v>93</v>
      </c>
      <c r="E7" s="6"/>
      <c r="F7" s="6"/>
      <c r="G7" s="6"/>
      <c r="H7" s="6"/>
      <c r="I7" s="6"/>
      <c r="J7" s="6"/>
    </row>
    <row r="8" spans="1:10" ht="21.95" customHeight="1" x14ac:dyDescent="0.25">
      <c r="A8" s="6"/>
      <c r="B8" s="21" t="s">
        <v>94</v>
      </c>
      <c r="C8" s="348">
        <v>2.5</v>
      </c>
      <c r="D8" s="22" t="s">
        <v>95</v>
      </c>
      <c r="E8" s="6"/>
      <c r="F8" s="6"/>
      <c r="G8" s="6"/>
      <c r="H8" s="6"/>
      <c r="I8" s="6"/>
      <c r="J8" s="6"/>
    </row>
    <row r="9" spans="1:10" ht="21.95" customHeight="1" x14ac:dyDescent="0.25">
      <c r="A9" s="6"/>
      <c r="B9" s="23" t="s">
        <v>96</v>
      </c>
      <c r="C9" s="394">
        <f>ROUND('⚙️ Config'!C14/'⚙️ Config'!C13,0)</f>
        <v>9</v>
      </c>
      <c r="D9" s="24" t="s">
        <v>97</v>
      </c>
      <c r="E9" s="6"/>
      <c r="F9" s="6"/>
      <c r="G9" s="6"/>
      <c r="H9" s="6"/>
      <c r="I9" s="6"/>
      <c r="J9" s="6"/>
    </row>
    <row r="10" spans="1:10" ht="15.75" thickBo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ht="27.95" customHeight="1" x14ac:dyDescent="0.3">
      <c r="A11" s="6"/>
      <c r="B11" s="199" t="s">
        <v>98</v>
      </c>
      <c r="C11" s="200"/>
      <c r="D11" s="200"/>
      <c r="E11" s="200"/>
      <c r="F11" s="200"/>
      <c r="G11" s="200"/>
      <c r="H11" s="200"/>
      <c r="I11" s="201"/>
      <c r="J11" s="6"/>
    </row>
    <row r="12" spans="1:10" ht="24.95" customHeight="1" x14ac:dyDescent="0.25">
      <c r="A12" s="6"/>
      <c r="B12" s="220" t="s">
        <v>308</v>
      </c>
      <c r="C12" s="220"/>
      <c r="D12" s="220"/>
      <c r="E12" s="220"/>
      <c r="F12" s="220"/>
      <c r="G12" s="220"/>
      <c r="H12" s="220"/>
      <c r="I12" s="220"/>
      <c r="J12" s="6"/>
    </row>
    <row r="13" spans="1:10" ht="21.95" customHeight="1" x14ac:dyDescent="0.25">
      <c r="A13" s="6"/>
      <c r="B13" s="208" t="s">
        <v>309</v>
      </c>
      <c r="C13" s="208" t="s">
        <v>99</v>
      </c>
      <c r="D13" s="208" t="s">
        <v>100</v>
      </c>
      <c r="E13" s="208" t="s">
        <v>101</v>
      </c>
      <c r="F13" s="208" t="s">
        <v>102</v>
      </c>
      <c r="G13" s="208" t="s">
        <v>105</v>
      </c>
      <c r="H13" s="6"/>
      <c r="I13" s="6"/>
      <c r="J13" s="6"/>
    </row>
    <row r="14" spans="1:10" ht="21.95" customHeight="1" x14ac:dyDescent="0.25">
      <c r="A14" s="6"/>
      <c r="B14" s="209" t="s">
        <v>106</v>
      </c>
      <c r="C14" s="212">
        <v>13</v>
      </c>
      <c r="D14" s="209" t="s">
        <v>24</v>
      </c>
      <c r="E14" s="209" t="s">
        <v>107</v>
      </c>
      <c r="F14" s="215">
        <f>C14*$C$8</f>
        <v>32.5</v>
      </c>
      <c r="G14" s="209" t="s">
        <v>310</v>
      </c>
      <c r="H14" s="6"/>
      <c r="I14" s="6"/>
      <c r="J14" s="6"/>
    </row>
    <row r="15" spans="1:10" ht="21.95" customHeight="1" x14ac:dyDescent="0.25">
      <c r="A15" s="6"/>
      <c r="B15" s="210" t="s">
        <v>109</v>
      </c>
      <c r="C15" s="213">
        <v>21</v>
      </c>
      <c r="D15" s="210" t="s">
        <v>24</v>
      </c>
      <c r="E15" s="210" t="s">
        <v>110</v>
      </c>
      <c r="F15" s="216">
        <f>C15*$C$8</f>
        <v>52.5</v>
      </c>
      <c r="G15" s="210" t="s">
        <v>310</v>
      </c>
      <c r="H15" s="6"/>
      <c r="I15" s="6"/>
      <c r="J15" s="6"/>
    </row>
    <row r="16" spans="1:10" ht="21.95" customHeight="1" x14ac:dyDescent="0.25">
      <c r="A16" s="6"/>
      <c r="B16" s="209" t="s">
        <v>111</v>
      </c>
      <c r="C16" s="212">
        <v>21</v>
      </c>
      <c r="D16" s="209" t="s">
        <v>112</v>
      </c>
      <c r="E16" s="209" t="s">
        <v>113</v>
      </c>
      <c r="F16" s="215">
        <f>C16*$C$8</f>
        <v>52.5</v>
      </c>
      <c r="G16" s="209" t="s">
        <v>310</v>
      </c>
      <c r="H16" s="6"/>
      <c r="I16" s="6"/>
      <c r="J16" s="6"/>
    </row>
    <row r="17" spans="1:10" ht="21.95" customHeight="1" x14ac:dyDescent="0.25">
      <c r="A17" s="6"/>
      <c r="B17" s="210" t="s">
        <v>115</v>
      </c>
      <c r="C17" s="213">
        <v>13</v>
      </c>
      <c r="D17" s="210" t="s">
        <v>112</v>
      </c>
      <c r="E17" s="210" t="s">
        <v>114</v>
      </c>
      <c r="F17" s="216">
        <f>C17*$C$8</f>
        <v>32.5</v>
      </c>
      <c r="G17" s="210" t="s">
        <v>310</v>
      </c>
      <c r="H17" s="6"/>
      <c r="I17" s="6"/>
      <c r="J17" s="6"/>
    </row>
    <row r="18" spans="1:10" ht="21.95" customHeight="1" x14ac:dyDescent="0.25">
      <c r="A18" s="6"/>
      <c r="B18" s="209" t="s">
        <v>116</v>
      </c>
      <c r="C18" s="212">
        <v>13</v>
      </c>
      <c r="D18" s="209" t="s">
        <v>26</v>
      </c>
      <c r="E18" s="209" t="s">
        <v>117</v>
      </c>
      <c r="F18" s="215">
        <f>C18*$C$8</f>
        <v>32.5</v>
      </c>
      <c r="G18" s="209" t="s">
        <v>310</v>
      </c>
      <c r="H18" s="6"/>
      <c r="I18" s="6"/>
      <c r="J18" s="6"/>
    </row>
    <row r="19" spans="1:10" ht="21.95" customHeight="1" x14ac:dyDescent="0.25">
      <c r="A19" s="6"/>
      <c r="B19" s="210" t="s">
        <v>118</v>
      </c>
      <c r="C19" s="213">
        <v>8</v>
      </c>
      <c r="D19" s="210" t="s">
        <v>30</v>
      </c>
      <c r="E19" s="210" t="s">
        <v>119</v>
      </c>
      <c r="F19" s="216">
        <f>C19*$C$8</f>
        <v>20</v>
      </c>
      <c r="G19" s="210" t="s">
        <v>310</v>
      </c>
      <c r="H19" s="6"/>
      <c r="I19" s="6"/>
      <c r="J19" s="6"/>
    </row>
    <row r="20" spans="1:10" ht="21.95" customHeight="1" x14ac:dyDescent="0.25">
      <c r="A20" s="6"/>
      <c r="B20" s="209" t="s">
        <v>120</v>
      </c>
      <c r="C20" s="212">
        <v>13</v>
      </c>
      <c r="D20" s="209" t="s">
        <v>26</v>
      </c>
      <c r="E20" s="209" t="s">
        <v>119</v>
      </c>
      <c r="F20" s="215">
        <f>C20*$C$8</f>
        <v>32.5</v>
      </c>
      <c r="G20" s="209" t="s">
        <v>310</v>
      </c>
      <c r="H20" s="6"/>
      <c r="I20" s="6"/>
      <c r="J20" s="6"/>
    </row>
    <row r="21" spans="1:10" ht="21.95" customHeight="1" x14ac:dyDescent="0.25">
      <c r="A21" s="6"/>
      <c r="B21" s="210" t="s">
        <v>311</v>
      </c>
      <c r="C21" s="213">
        <v>21</v>
      </c>
      <c r="D21" s="210" t="s">
        <v>24</v>
      </c>
      <c r="E21" s="210" t="s">
        <v>121</v>
      </c>
      <c r="F21" s="216">
        <f>C21*$C$8</f>
        <v>52.5</v>
      </c>
      <c r="G21" s="210" t="s">
        <v>310</v>
      </c>
      <c r="H21" s="6"/>
      <c r="I21" s="6"/>
      <c r="J21" s="6"/>
    </row>
    <row r="22" spans="1:10" ht="21.95" customHeight="1" x14ac:dyDescent="0.25">
      <c r="A22" s="6"/>
      <c r="B22" s="209" t="s">
        <v>306</v>
      </c>
      <c r="C22" s="212">
        <v>13</v>
      </c>
      <c r="D22" s="209" t="s">
        <v>24</v>
      </c>
      <c r="E22" s="209" t="s">
        <v>256</v>
      </c>
      <c r="F22" s="215">
        <f>C22*$C$8</f>
        <v>32.5</v>
      </c>
      <c r="G22" s="209" t="s">
        <v>310</v>
      </c>
      <c r="H22" s="6"/>
      <c r="I22" s="6"/>
      <c r="J22" s="6"/>
    </row>
    <row r="23" spans="1:10" ht="21.95" customHeight="1" x14ac:dyDescent="0.25">
      <c r="A23" s="6"/>
      <c r="B23" s="210" t="s">
        <v>307</v>
      </c>
      <c r="C23" s="213">
        <v>13</v>
      </c>
      <c r="D23" s="210" t="s">
        <v>112</v>
      </c>
      <c r="E23" s="210" t="s">
        <v>305</v>
      </c>
      <c r="F23" s="216">
        <f>C23*$C$8</f>
        <v>32.5</v>
      </c>
      <c r="G23" s="210" t="s">
        <v>310</v>
      </c>
      <c r="H23" s="6"/>
      <c r="I23" s="6"/>
      <c r="J23" s="6"/>
    </row>
    <row r="24" spans="1:10" ht="21.95" customHeight="1" x14ac:dyDescent="0.25">
      <c r="A24" s="6"/>
      <c r="B24" s="211" t="s">
        <v>312</v>
      </c>
      <c r="C24" s="214">
        <f>SUM(C14:C23)</f>
        <v>149</v>
      </c>
      <c r="D24" s="211"/>
      <c r="E24" s="211"/>
      <c r="F24" s="217">
        <f>SUM(F14:F23)</f>
        <v>372.5</v>
      </c>
      <c r="G24" s="211"/>
      <c r="H24" s="6"/>
      <c r="I24" s="6"/>
      <c r="J24" s="6"/>
    </row>
    <row r="25" spans="1:10" ht="21.9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ht="21.95" customHeight="1" x14ac:dyDescent="0.25">
      <c r="A26" s="6"/>
      <c r="B26" s="220" t="s">
        <v>313</v>
      </c>
      <c r="C26" s="202"/>
      <c r="D26" s="202"/>
      <c r="E26" s="202"/>
      <c r="F26" s="202"/>
      <c r="G26" s="202"/>
      <c r="H26" s="202"/>
      <c r="I26" s="202"/>
      <c r="J26" s="202"/>
    </row>
    <row r="27" spans="1:10" ht="21.95" customHeight="1" x14ac:dyDescent="0.25">
      <c r="A27" s="6"/>
      <c r="B27" s="218" t="s">
        <v>341</v>
      </c>
      <c r="C27" s="208" t="s">
        <v>314</v>
      </c>
      <c r="D27" s="208" t="s">
        <v>99</v>
      </c>
      <c r="E27" s="208" t="s">
        <v>100</v>
      </c>
      <c r="F27" s="208" t="s">
        <v>101</v>
      </c>
      <c r="G27" s="208" t="s">
        <v>102</v>
      </c>
      <c r="H27" s="208" t="s">
        <v>103</v>
      </c>
      <c r="I27" s="208" t="s">
        <v>104</v>
      </c>
      <c r="J27" s="208" t="s">
        <v>105</v>
      </c>
    </row>
    <row r="28" spans="1:10" ht="21.95" customHeight="1" x14ac:dyDescent="0.25">
      <c r="A28" s="6"/>
      <c r="B28" s="242" t="s">
        <v>342</v>
      </c>
      <c r="C28" s="231" t="s">
        <v>315</v>
      </c>
      <c r="D28" s="232">
        <v>8</v>
      </c>
      <c r="E28" s="233" t="s">
        <v>24</v>
      </c>
      <c r="F28" s="233" t="s">
        <v>107</v>
      </c>
      <c r="G28" s="234">
        <v>20</v>
      </c>
      <c r="H28" s="234"/>
      <c r="I28" s="234"/>
      <c r="J28" s="233" t="s">
        <v>108</v>
      </c>
    </row>
    <row r="29" spans="1:10" ht="21.95" customHeight="1" x14ac:dyDescent="0.25">
      <c r="A29" s="6"/>
      <c r="B29" s="242"/>
      <c r="C29" s="235" t="s">
        <v>316</v>
      </c>
      <c r="D29" s="236">
        <v>5</v>
      </c>
      <c r="E29" s="237" t="s">
        <v>26</v>
      </c>
      <c r="F29" s="237" t="s">
        <v>107</v>
      </c>
      <c r="G29" s="238">
        <v>12.5</v>
      </c>
      <c r="H29" s="238"/>
      <c r="I29" s="238"/>
      <c r="J29" s="237" t="s">
        <v>108</v>
      </c>
    </row>
    <row r="30" spans="1:10" ht="21.95" customHeight="1" x14ac:dyDescent="0.25">
      <c r="A30" s="6"/>
      <c r="B30" s="242" t="s">
        <v>343</v>
      </c>
      <c r="C30" s="231" t="s">
        <v>317</v>
      </c>
      <c r="D30" s="232">
        <v>8</v>
      </c>
      <c r="E30" s="233" t="s">
        <v>24</v>
      </c>
      <c r="F30" s="233" t="s">
        <v>110</v>
      </c>
      <c r="G30" s="234">
        <v>20</v>
      </c>
      <c r="H30" s="234"/>
      <c r="I30" s="234"/>
      <c r="J30" s="233" t="s">
        <v>108</v>
      </c>
    </row>
    <row r="31" spans="1:10" ht="21.95" customHeight="1" x14ac:dyDescent="0.25">
      <c r="A31" s="6"/>
      <c r="B31" s="242"/>
      <c r="C31" s="235" t="s">
        <v>318</v>
      </c>
      <c r="D31" s="236">
        <v>8</v>
      </c>
      <c r="E31" s="237" t="s">
        <v>24</v>
      </c>
      <c r="F31" s="237" t="s">
        <v>110</v>
      </c>
      <c r="G31" s="238">
        <v>20</v>
      </c>
      <c r="H31" s="238"/>
      <c r="I31" s="238"/>
      <c r="J31" s="237" t="s">
        <v>108</v>
      </c>
    </row>
    <row r="32" spans="1:10" ht="21.95" customHeight="1" x14ac:dyDescent="0.25">
      <c r="A32" s="6"/>
      <c r="B32" s="242"/>
      <c r="C32" s="231" t="s">
        <v>319</v>
      </c>
      <c r="D32" s="232">
        <v>5</v>
      </c>
      <c r="E32" s="233" t="s">
        <v>26</v>
      </c>
      <c r="F32" s="233" t="s">
        <v>110</v>
      </c>
      <c r="G32" s="234">
        <v>12.5</v>
      </c>
      <c r="H32" s="234"/>
      <c r="I32" s="234"/>
      <c r="J32" s="233" t="s">
        <v>108</v>
      </c>
    </row>
    <row r="33" spans="1:10" ht="27.95" customHeight="1" x14ac:dyDescent="0.25">
      <c r="A33" s="6"/>
      <c r="B33" s="243" t="s">
        <v>344</v>
      </c>
      <c r="C33" s="235" t="s">
        <v>320</v>
      </c>
      <c r="D33" s="236">
        <v>5</v>
      </c>
      <c r="E33" s="237" t="s">
        <v>112</v>
      </c>
      <c r="F33" s="237" t="s">
        <v>113</v>
      </c>
      <c r="G33" s="238">
        <v>12.5</v>
      </c>
      <c r="H33" s="238"/>
      <c r="I33" s="238"/>
      <c r="J33" s="237" t="s">
        <v>108</v>
      </c>
    </row>
    <row r="34" spans="1:10" x14ac:dyDescent="0.25">
      <c r="A34" s="6"/>
      <c r="B34" s="243"/>
      <c r="C34" s="231" t="s">
        <v>321</v>
      </c>
      <c r="D34" s="232">
        <v>13</v>
      </c>
      <c r="E34" s="233" t="s">
        <v>112</v>
      </c>
      <c r="F34" s="233" t="s">
        <v>113</v>
      </c>
      <c r="G34" s="234">
        <v>32.5</v>
      </c>
      <c r="H34" s="234"/>
      <c r="I34" s="234"/>
      <c r="J34" s="233" t="s">
        <v>108</v>
      </c>
    </row>
    <row r="35" spans="1:10" x14ac:dyDescent="0.25">
      <c r="A35" s="6"/>
      <c r="B35" s="243" t="s">
        <v>345</v>
      </c>
      <c r="C35" s="235" t="s">
        <v>322</v>
      </c>
      <c r="D35" s="236">
        <v>3</v>
      </c>
      <c r="E35" s="237" t="s">
        <v>24</v>
      </c>
      <c r="F35" s="237" t="s">
        <v>114</v>
      </c>
      <c r="G35" s="238">
        <v>7.5</v>
      </c>
      <c r="H35" s="238"/>
      <c r="I35" s="238"/>
      <c r="J35" s="237" t="s">
        <v>108</v>
      </c>
    </row>
    <row r="36" spans="1:10" x14ac:dyDescent="0.25">
      <c r="A36" s="1"/>
      <c r="B36" s="243"/>
      <c r="C36" s="231" t="s">
        <v>323</v>
      </c>
      <c r="D36" s="232">
        <v>8</v>
      </c>
      <c r="E36" s="233" t="s">
        <v>112</v>
      </c>
      <c r="F36" s="233" t="s">
        <v>114</v>
      </c>
      <c r="G36" s="234">
        <v>20</v>
      </c>
      <c r="H36" s="234"/>
      <c r="I36" s="234"/>
      <c r="J36" s="233" t="s">
        <v>108</v>
      </c>
    </row>
    <row r="37" spans="1:10" x14ac:dyDescent="0.25">
      <c r="A37" s="1"/>
      <c r="B37" s="243"/>
      <c r="C37" s="235" t="s">
        <v>324</v>
      </c>
      <c r="D37" s="236">
        <v>5</v>
      </c>
      <c r="E37" s="237" t="s">
        <v>24</v>
      </c>
      <c r="F37" s="237" t="s">
        <v>114</v>
      </c>
      <c r="G37" s="238">
        <v>12.5</v>
      </c>
      <c r="H37" s="238"/>
      <c r="I37" s="238"/>
      <c r="J37" s="237" t="s">
        <v>108</v>
      </c>
    </row>
    <row r="38" spans="1:10" x14ac:dyDescent="0.25">
      <c r="A38" s="1"/>
      <c r="B38" s="242" t="s">
        <v>346</v>
      </c>
      <c r="C38" s="231" t="s">
        <v>325</v>
      </c>
      <c r="D38" s="232">
        <v>8</v>
      </c>
      <c r="E38" s="233" t="s">
        <v>26</v>
      </c>
      <c r="F38" s="233" t="s">
        <v>117</v>
      </c>
      <c r="G38" s="234">
        <v>20</v>
      </c>
      <c r="H38" s="234"/>
      <c r="I38" s="234"/>
      <c r="J38" s="233" t="s">
        <v>108</v>
      </c>
    </row>
    <row r="39" spans="1:10" x14ac:dyDescent="0.25">
      <c r="A39" s="1"/>
      <c r="B39" s="242"/>
      <c r="C39" s="235" t="s">
        <v>326</v>
      </c>
      <c r="D39" s="236">
        <v>5</v>
      </c>
      <c r="E39" s="237" t="s">
        <v>26</v>
      </c>
      <c r="F39" s="237" t="s">
        <v>117</v>
      </c>
      <c r="G39" s="238">
        <v>12.5</v>
      </c>
      <c r="H39" s="238"/>
      <c r="I39" s="238"/>
      <c r="J39" s="237" t="s">
        <v>108</v>
      </c>
    </row>
    <row r="40" spans="1:10" x14ac:dyDescent="0.25">
      <c r="A40" s="1"/>
      <c r="B40" s="244" t="s">
        <v>347</v>
      </c>
      <c r="C40" s="231" t="s">
        <v>327</v>
      </c>
      <c r="D40" s="232">
        <v>8</v>
      </c>
      <c r="E40" s="233" t="s">
        <v>30</v>
      </c>
      <c r="F40" s="233" t="s">
        <v>119</v>
      </c>
      <c r="G40" s="234">
        <v>20</v>
      </c>
      <c r="H40" s="234"/>
      <c r="I40" s="234"/>
      <c r="J40" s="233" t="s">
        <v>108</v>
      </c>
    </row>
    <row r="41" spans="1:10" x14ac:dyDescent="0.25">
      <c r="A41" s="1"/>
      <c r="B41" s="243" t="s">
        <v>348</v>
      </c>
      <c r="C41" s="235" t="s">
        <v>328</v>
      </c>
      <c r="D41" s="236">
        <v>8</v>
      </c>
      <c r="E41" s="237" t="s">
        <v>26</v>
      </c>
      <c r="F41" s="237" t="s">
        <v>119</v>
      </c>
      <c r="G41" s="238">
        <v>20</v>
      </c>
      <c r="H41" s="238"/>
      <c r="I41" s="238"/>
      <c r="J41" s="237" t="s">
        <v>108</v>
      </c>
    </row>
    <row r="42" spans="1:10" x14ac:dyDescent="0.25">
      <c r="A42" s="1"/>
      <c r="B42" s="243"/>
      <c r="C42" s="231" t="s">
        <v>329</v>
      </c>
      <c r="D42" s="232">
        <v>5</v>
      </c>
      <c r="E42" s="233" t="s">
        <v>26</v>
      </c>
      <c r="F42" s="233" t="s">
        <v>119</v>
      </c>
      <c r="G42" s="234">
        <v>12.5</v>
      </c>
      <c r="H42" s="234"/>
      <c r="I42" s="234"/>
      <c r="J42" s="233" t="s">
        <v>108</v>
      </c>
    </row>
    <row r="43" spans="1:10" x14ac:dyDescent="0.25">
      <c r="A43" s="1"/>
      <c r="B43" s="243" t="s">
        <v>349</v>
      </c>
      <c r="C43" s="235" t="s">
        <v>330</v>
      </c>
      <c r="D43" s="236">
        <v>13</v>
      </c>
      <c r="E43" s="237" t="s">
        <v>24</v>
      </c>
      <c r="F43" s="237" t="s">
        <v>121</v>
      </c>
      <c r="G43" s="238">
        <v>32.5</v>
      </c>
      <c r="H43" s="238"/>
      <c r="I43" s="238"/>
      <c r="J43" s="237" t="s">
        <v>108</v>
      </c>
    </row>
    <row r="44" spans="1:10" x14ac:dyDescent="0.25">
      <c r="A44" s="1"/>
      <c r="B44" s="243"/>
      <c r="C44" s="231" t="s">
        <v>331</v>
      </c>
      <c r="D44" s="232">
        <v>8</v>
      </c>
      <c r="E44" s="233" t="s">
        <v>24</v>
      </c>
      <c r="F44" s="233" t="s">
        <v>121</v>
      </c>
      <c r="G44" s="234">
        <v>20</v>
      </c>
      <c r="H44" s="234"/>
      <c r="I44" s="234"/>
      <c r="J44" s="233" t="s">
        <v>108</v>
      </c>
    </row>
    <row r="45" spans="1:10" x14ac:dyDescent="0.25">
      <c r="A45" s="1"/>
      <c r="B45" s="243" t="s">
        <v>350</v>
      </c>
      <c r="C45" s="235" t="s">
        <v>332</v>
      </c>
      <c r="D45" s="236">
        <v>8</v>
      </c>
      <c r="E45" s="237" t="s">
        <v>24</v>
      </c>
      <c r="F45" s="237" t="s">
        <v>256</v>
      </c>
      <c r="G45" s="238">
        <v>20</v>
      </c>
      <c r="H45" s="238"/>
      <c r="I45" s="238"/>
      <c r="J45" s="237" t="s">
        <v>108</v>
      </c>
    </row>
    <row r="46" spans="1:10" x14ac:dyDescent="0.25">
      <c r="A46" s="1"/>
      <c r="B46" s="243"/>
      <c r="C46" s="231" t="s">
        <v>333</v>
      </c>
      <c r="D46" s="232">
        <v>5</v>
      </c>
      <c r="E46" s="233" t="s">
        <v>26</v>
      </c>
      <c r="F46" s="233" t="s">
        <v>256</v>
      </c>
      <c r="G46" s="234">
        <v>12.5</v>
      </c>
      <c r="H46" s="234"/>
      <c r="I46" s="234"/>
      <c r="J46" s="233" t="s">
        <v>108</v>
      </c>
    </row>
    <row r="47" spans="1:10" x14ac:dyDescent="0.25">
      <c r="A47" s="1"/>
      <c r="B47" s="243" t="s">
        <v>351</v>
      </c>
      <c r="C47" s="235" t="s">
        <v>334</v>
      </c>
      <c r="D47" s="236">
        <v>8</v>
      </c>
      <c r="E47" s="237" t="s">
        <v>112</v>
      </c>
      <c r="F47" s="237" t="s">
        <v>305</v>
      </c>
      <c r="G47" s="238">
        <v>20</v>
      </c>
      <c r="H47" s="238"/>
      <c r="I47" s="238"/>
      <c r="J47" s="237" t="s">
        <v>108</v>
      </c>
    </row>
    <row r="48" spans="1:10" x14ac:dyDescent="0.25">
      <c r="A48" s="1"/>
      <c r="B48" s="243"/>
      <c r="C48" s="231" t="s">
        <v>335</v>
      </c>
      <c r="D48" s="232">
        <v>5</v>
      </c>
      <c r="E48" s="233" t="s">
        <v>24</v>
      </c>
      <c r="F48" s="233" t="s">
        <v>305</v>
      </c>
      <c r="G48" s="234">
        <v>12.5</v>
      </c>
      <c r="H48" s="234"/>
      <c r="I48" s="234"/>
      <c r="J48" s="233" t="s">
        <v>108</v>
      </c>
    </row>
    <row r="49" spans="1:10" x14ac:dyDescent="0.25">
      <c r="A49" s="1"/>
      <c r="B49" s="239"/>
      <c r="C49" s="240" t="s">
        <v>336</v>
      </c>
      <c r="D49" s="219">
        <v>149</v>
      </c>
      <c r="E49" s="240"/>
      <c r="F49" s="240"/>
      <c r="G49" s="241">
        <v>372.5</v>
      </c>
      <c r="H49" s="241">
        <v>0</v>
      </c>
      <c r="I49" s="241">
        <v>0</v>
      </c>
      <c r="J49" s="240"/>
    </row>
    <row r="50" spans="1:10" x14ac:dyDescent="0.25">
      <c r="A50" s="1"/>
    </row>
    <row r="51" spans="1:10" x14ac:dyDescent="0.25">
      <c r="A51" s="1"/>
      <c r="B51" s="222" t="s">
        <v>337</v>
      </c>
      <c r="C51" s="223"/>
      <c r="D51" s="223"/>
      <c r="E51" s="223"/>
      <c r="F51" s="223"/>
      <c r="G51" s="224"/>
    </row>
    <row r="52" spans="1:10" x14ac:dyDescent="0.25">
      <c r="A52" s="1"/>
      <c r="B52" s="225" t="s">
        <v>338</v>
      </c>
      <c r="C52" s="226" t="str">
        <f>IF(C24=D49,"✅ MATCH","❌ MISMATCH")</f>
        <v>✅ MATCH</v>
      </c>
      <c r="D52" s="227" t="s">
        <v>339</v>
      </c>
      <c r="E52" s="228">
        <f>C24</f>
        <v>149</v>
      </c>
      <c r="F52" s="227" t="s">
        <v>340</v>
      </c>
      <c r="G52" s="229">
        <f>D49</f>
        <v>149</v>
      </c>
    </row>
    <row r="53" spans="1:10" x14ac:dyDescent="0.25">
      <c r="A53" s="1"/>
    </row>
    <row r="54" spans="1:10" x14ac:dyDescent="0.25">
      <c r="A54" s="1"/>
    </row>
    <row r="55" spans="1:10" ht="15.75" x14ac:dyDescent="0.25">
      <c r="A55" s="1"/>
      <c r="B55" s="204" t="s">
        <v>352</v>
      </c>
      <c r="C55" s="202"/>
      <c r="D55" s="202"/>
      <c r="E55" s="202"/>
      <c r="F55" s="202"/>
      <c r="G55" s="202"/>
      <c r="H55" s="202"/>
      <c r="I55" s="202"/>
      <c r="J55" s="202"/>
    </row>
    <row r="56" spans="1:10" x14ac:dyDescent="0.25">
      <c r="A56" s="1"/>
      <c r="B56" s="246" t="s">
        <v>353</v>
      </c>
      <c r="C56" s="245"/>
      <c r="D56" s="245"/>
      <c r="E56" s="245"/>
      <c r="F56" s="1"/>
      <c r="G56" s="1"/>
      <c r="H56" s="1"/>
      <c r="I56" s="1"/>
      <c r="J56" s="1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5">
      <c r="A58" s="1"/>
      <c r="B58" s="208" t="s">
        <v>354</v>
      </c>
      <c r="C58" s="208" t="s">
        <v>355</v>
      </c>
      <c r="D58" s="349" t="s">
        <v>356</v>
      </c>
      <c r="E58" s="362" t="s">
        <v>357</v>
      </c>
      <c r="F58" s="1"/>
      <c r="G58" s="1"/>
      <c r="H58" s="1"/>
      <c r="I58" s="1"/>
      <c r="J58" s="1"/>
    </row>
    <row r="59" spans="1:10" x14ac:dyDescent="0.25">
      <c r="A59" s="1"/>
      <c r="B59" s="251" t="s">
        <v>358</v>
      </c>
      <c r="C59" s="252"/>
      <c r="D59" s="350"/>
      <c r="E59" s="363"/>
      <c r="F59" s="1"/>
      <c r="G59" s="1"/>
      <c r="H59" s="1"/>
      <c r="I59" s="1"/>
      <c r="J59" s="1"/>
    </row>
    <row r="60" spans="1:10" x14ac:dyDescent="0.25">
      <c r="A60" s="1"/>
      <c r="B60" s="267" t="s">
        <v>359</v>
      </c>
      <c r="C60" s="267">
        <f>C7*C9</f>
        <v>4320</v>
      </c>
      <c r="D60" s="351" t="s">
        <v>392</v>
      </c>
      <c r="E60" s="364" t="s">
        <v>601</v>
      </c>
      <c r="F60" s="1"/>
      <c r="G60" s="1"/>
      <c r="H60" s="1"/>
      <c r="I60" s="1"/>
      <c r="J60" s="1"/>
    </row>
    <row r="61" spans="1:10" x14ac:dyDescent="0.25">
      <c r="A61" s="1"/>
      <c r="B61" s="253"/>
      <c r="C61" s="253"/>
      <c r="D61" s="352"/>
      <c r="E61" s="365"/>
      <c r="F61" s="1"/>
      <c r="G61" s="1"/>
      <c r="H61" s="1"/>
      <c r="I61" s="1"/>
      <c r="J61" s="1"/>
    </row>
    <row r="62" spans="1:10" x14ac:dyDescent="0.25">
      <c r="A62" s="1"/>
      <c r="B62" s="254" t="s">
        <v>360</v>
      </c>
      <c r="C62" s="255"/>
      <c r="D62" s="353"/>
      <c r="E62" s="366"/>
      <c r="F62" s="1"/>
      <c r="G62" s="1"/>
      <c r="H62" s="1"/>
      <c r="I62" s="1"/>
      <c r="J62" s="1"/>
    </row>
    <row r="63" spans="1:10" x14ac:dyDescent="0.25">
      <c r="A63" s="1"/>
      <c r="B63" s="256" t="s">
        <v>361</v>
      </c>
      <c r="C63" s="256">
        <f>C60*0.15</f>
        <v>648</v>
      </c>
      <c r="D63" s="354" t="s">
        <v>393</v>
      </c>
      <c r="E63" s="367" t="s">
        <v>362</v>
      </c>
      <c r="F63" s="1"/>
      <c r="G63" s="1"/>
      <c r="H63" s="1"/>
      <c r="I63" s="1"/>
      <c r="J63" s="1"/>
    </row>
    <row r="64" spans="1:10" x14ac:dyDescent="0.25">
      <c r="A64" s="1"/>
      <c r="B64" s="257" t="s">
        <v>363</v>
      </c>
      <c r="C64" s="257">
        <f>C60*0.1</f>
        <v>432</v>
      </c>
      <c r="D64" s="355" t="s">
        <v>394</v>
      </c>
      <c r="E64" s="368" t="s">
        <v>364</v>
      </c>
      <c r="F64" s="1"/>
      <c r="G64" s="1"/>
      <c r="H64" s="1"/>
      <c r="I64" s="1"/>
      <c r="J64" s="1"/>
    </row>
    <row r="65" spans="1:10" x14ac:dyDescent="0.25">
      <c r="A65" s="1"/>
      <c r="B65" s="256" t="s">
        <v>365</v>
      </c>
      <c r="C65" s="256">
        <f>C60*0.05</f>
        <v>216</v>
      </c>
      <c r="D65" s="354" t="s">
        <v>395</v>
      </c>
      <c r="E65" s="367" t="s">
        <v>366</v>
      </c>
      <c r="F65" s="1"/>
      <c r="G65" s="1"/>
      <c r="H65" s="1"/>
      <c r="I65" s="1"/>
      <c r="J65" s="1"/>
    </row>
    <row r="66" spans="1:10" x14ac:dyDescent="0.25">
      <c r="A66" s="1"/>
      <c r="B66" s="257" t="s">
        <v>367</v>
      </c>
      <c r="C66" s="257">
        <f>C60*0.1</f>
        <v>432</v>
      </c>
      <c r="D66" s="355" t="s">
        <v>394</v>
      </c>
      <c r="E66" s="368" t="s">
        <v>368</v>
      </c>
      <c r="F66" s="1"/>
      <c r="G66" s="1"/>
      <c r="H66" s="1"/>
      <c r="I66" s="1"/>
      <c r="J66" s="1"/>
    </row>
    <row r="67" spans="1:10" x14ac:dyDescent="0.25">
      <c r="A67" s="1"/>
      <c r="B67" s="256" t="s">
        <v>369</v>
      </c>
      <c r="C67" s="256">
        <f>C60*0.1</f>
        <v>432</v>
      </c>
      <c r="D67" s="354" t="s">
        <v>394</v>
      </c>
      <c r="E67" s="367" t="s">
        <v>370</v>
      </c>
      <c r="F67" s="1"/>
      <c r="G67" s="1"/>
      <c r="H67" s="1"/>
      <c r="I67" s="1"/>
      <c r="J67" s="1"/>
    </row>
    <row r="68" spans="1:10" x14ac:dyDescent="0.25">
      <c r="A68" s="1"/>
      <c r="B68" s="258" t="s">
        <v>371</v>
      </c>
      <c r="C68" s="258">
        <f>SUM(C63:C67)</f>
        <v>2160</v>
      </c>
      <c r="D68" s="356" t="s">
        <v>396</v>
      </c>
      <c r="E68" s="369" t="s">
        <v>372</v>
      </c>
      <c r="F68" s="1"/>
      <c r="G68" s="1"/>
      <c r="H68" s="1"/>
      <c r="I68" s="1"/>
      <c r="J68" s="1"/>
    </row>
    <row r="69" spans="1:10" x14ac:dyDescent="0.25">
      <c r="A69" s="1"/>
      <c r="B69" s="253"/>
      <c r="C69" s="253"/>
      <c r="D69" s="352"/>
      <c r="E69" s="365"/>
      <c r="F69" s="1"/>
      <c r="G69" s="1"/>
      <c r="H69" s="1"/>
      <c r="I69" s="1"/>
      <c r="J69" s="1"/>
    </row>
    <row r="70" spans="1:10" x14ac:dyDescent="0.25">
      <c r="A70" s="1"/>
      <c r="B70" s="259" t="s">
        <v>373</v>
      </c>
      <c r="C70" s="255"/>
      <c r="D70" s="353"/>
      <c r="E70" s="370"/>
      <c r="F70" s="1"/>
      <c r="G70" s="1"/>
      <c r="H70" s="1"/>
      <c r="I70" s="1"/>
      <c r="J70" s="1"/>
    </row>
    <row r="71" spans="1:10" x14ac:dyDescent="0.25">
      <c r="A71" s="1"/>
      <c r="B71" s="260" t="s">
        <v>374</v>
      </c>
      <c r="C71" s="260">
        <f>C60-C68</f>
        <v>2160</v>
      </c>
      <c r="D71" s="357" t="s">
        <v>396</v>
      </c>
      <c r="E71" s="371" t="s">
        <v>398</v>
      </c>
      <c r="F71" s="1"/>
      <c r="G71" s="1"/>
      <c r="H71" s="1"/>
      <c r="I71" s="1"/>
      <c r="J71" s="1"/>
    </row>
    <row r="72" spans="1:10" x14ac:dyDescent="0.25">
      <c r="A72" s="1"/>
      <c r="B72" s="253"/>
      <c r="C72" s="253"/>
      <c r="D72" s="352"/>
      <c r="E72" s="372"/>
      <c r="F72" s="1"/>
      <c r="G72" s="1"/>
      <c r="H72" s="1"/>
      <c r="I72" s="1"/>
      <c r="J72" s="1"/>
    </row>
    <row r="73" spans="1:10" x14ac:dyDescent="0.25">
      <c r="A73" s="1"/>
      <c r="B73" s="261" t="s">
        <v>375</v>
      </c>
      <c r="C73" s="255"/>
      <c r="D73" s="353"/>
      <c r="E73" s="366"/>
      <c r="F73" s="1"/>
      <c r="G73" s="1"/>
      <c r="H73" s="1"/>
      <c r="I73" s="1"/>
      <c r="J73" s="1"/>
    </row>
    <row r="74" spans="1:10" x14ac:dyDescent="0.25">
      <c r="A74" s="1"/>
      <c r="B74" s="256" t="s">
        <v>376</v>
      </c>
      <c r="C74" s="256">
        <f>G49</f>
        <v>372.5</v>
      </c>
      <c r="D74" s="354" t="str">
        <f>ROUND(C74/C71*100,1)&amp;"%"</f>
        <v>17.2%</v>
      </c>
      <c r="E74" s="367" t="s">
        <v>377</v>
      </c>
      <c r="F74" s="1"/>
      <c r="G74" s="1"/>
      <c r="H74" s="1"/>
      <c r="I74" s="1"/>
      <c r="J74" s="1"/>
    </row>
    <row r="75" spans="1:10" x14ac:dyDescent="0.25">
      <c r="A75" s="1"/>
      <c r="B75" s="257" t="s">
        <v>378</v>
      </c>
      <c r="C75" s="257">
        <f>ROUND(C71*0.25,0)</f>
        <v>540</v>
      </c>
      <c r="D75" s="355" t="s">
        <v>397</v>
      </c>
      <c r="E75" s="368" t="s">
        <v>379</v>
      </c>
      <c r="F75" s="1"/>
      <c r="G75" s="1"/>
      <c r="H75" s="1"/>
      <c r="I75" s="1"/>
      <c r="J75" s="1"/>
    </row>
    <row r="76" spans="1:10" x14ac:dyDescent="0.25">
      <c r="A76" s="1"/>
      <c r="B76" s="256" t="s">
        <v>380</v>
      </c>
      <c r="C76" s="256">
        <f>ROUND(C71*0.15,0)</f>
        <v>324</v>
      </c>
      <c r="D76" s="354" t="s">
        <v>393</v>
      </c>
      <c r="E76" s="367" t="s">
        <v>381</v>
      </c>
      <c r="F76" s="1"/>
      <c r="G76" s="1"/>
      <c r="H76" s="1"/>
      <c r="I76" s="1"/>
      <c r="J76" s="1"/>
    </row>
    <row r="77" spans="1:10" x14ac:dyDescent="0.25">
      <c r="A77" s="1"/>
      <c r="B77" s="257" t="s">
        <v>82</v>
      </c>
      <c r="C77" s="257">
        <f>ROUND(C71*0.1,0)</f>
        <v>216</v>
      </c>
      <c r="D77" s="355" t="s">
        <v>394</v>
      </c>
      <c r="E77" s="368" t="s">
        <v>382</v>
      </c>
      <c r="F77" s="1"/>
      <c r="G77" s="1"/>
      <c r="H77" s="1"/>
      <c r="I77" s="1"/>
      <c r="J77" s="1"/>
    </row>
    <row r="78" spans="1:10" x14ac:dyDescent="0.25">
      <c r="A78" s="1"/>
      <c r="B78" s="262" t="s">
        <v>383</v>
      </c>
      <c r="C78" s="262">
        <f>C74+C75+C76+C77</f>
        <v>1452.5</v>
      </c>
      <c r="D78" s="358" t="str">
        <f>ROUND(C78/C71*100,1)&amp;"%"</f>
        <v>67.2%</v>
      </c>
      <c r="E78" s="373" t="s">
        <v>384</v>
      </c>
      <c r="F78" s="1"/>
      <c r="G78" s="1"/>
      <c r="H78" s="1"/>
      <c r="I78" s="1"/>
      <c r="J78" s="1"/>
    </row>
    <row r="79" spans="1:10" x14ac:dyDescent="0.25">
      <c r="A79" s="1"/>
      <c r="B79" s="253"/>
      <c r="C79" s="253"/>
      <c r="D79" s="352"/>
      <c r="E79" s="365"/>
      <c r="F79" s="1"/>
      <c r="G79" s="1"/>
      <c r="H79" s="1"/>
      <c r="I79" s="1"/>
      <c r="J79" s="1"/>
    </row>
    <row r="80" spans="1:10" x14ac:dyDescent="0.25">
      <c r="A80" s="1"/>
      <c r="B80" s="263" t="s">
        <v>385</v>
      </c>
      <c r="C80" s="255"/>
      <c r="D80" s="353"/>
      <c r="E80" s="366"/>
      <c r="F80" s="1"/>
      <c r="G80" s="1"/>
      <c r="H80" s="1"/>
      <c r="I80" s="1"/>
      <c r="J80" s="1"/>
    </row>
    <row r="81" spans="2:5" x14ac:dyDescent="0.25">
      <c r="B81" s="264" t="s">
        <v>386</v>
      </c>
      <c r="C81" s="264">
        <f>C60</f>
        <v>4320</v>
      </c>
      <c r="D81" s="359" t="s">
        <v>48</v>
      </c>
      <c r="E81" s="374"/>
    </row>
    <row r="82" spans="2:5" x14ac:dyDescent="0.25">
      <c r="B82" s="264" t="s">
        <v>387</v>
      </c>
      <c r="C82" s="264">
        <f>C68</f>
        <v>2160</v>
      </c>
      <c r="D82" s="359" t="s">
        <v>48</v>
      </c>
      <c r="E82" s="374"/>
    </row>
    <row r="83" spans="2:5" x14ac:dyDescent="0.25">
      <c r="B83" s="265" t="s">
        <v>388</v>
      </c>
      <c r="C83" s="265">
        <f>C71</f>
        <v>2160</v>
      </c>
      <c r="D83" s="360" t="s">
        <v>48</v>
      </c>
      <c r="E83" s="375"/>
    </row>
    <row r="84" spans="2:5" x14ac:dyDescent="0.25">
      <c r="B84" s="264" t="s">
        <v>389</v>
      </c>
      <c r="C84" s="264">
        <f>C78</f>
        <v>1452.5</v>
      </c>
      <c r="D84" s="359" t="s">
        <v>48</v>
      </c>
      <c r="E84" s="374"/>
    </row>
    <row r="85" spans="2:5" x14ac:dyDescent="0.25">
      <c r="B85" s="266" t="s">
        <v>390</v>
      </c>
      <c r="C85" s="266">
        <f>ROUND(C84/C83*100,1)</f>
        <v>67.2</v>
      </c>
      <c r="D85" s="361" t="s">
        <v>391</v>
      </c>
      <c r="E85" s="376"/>
    </row>
    <row r="87" spans="2:5" x14ac:dyDescent="0.25">
      <c r="B87" s="250" t="str">
        <f>IF(C84&lt;=C83,"✅ Effort fits within Net Capacity — estimates are defensible!","⚠️ Over-allocated! Review estimates or add resources.")</f>
        <v>✅ Effort fits within Net Capacity — estimates are defensible!</v>
      </c>
      <c r="C87" s="202"/>
      <c r="D87" s="202"/>
      <c r="E87" s="202"/>
    </row>
    <row r="89" spans="2:5" ht="15.75" x14ac:dyDescent="0.25">
      <c r="B89" s="204" t="s">
        <v>399</v>
      </c>
      <c r="C89" s="202"/>
      <c r="D89" s="202"/>
      <c r="E89" s="202"/>
    </row>
    <row r="90" spans="2:5" ht="3.95" customHeight="1" x14ac:dyDescent="0.25">
      <c r="B90" s="205"/>
      <c r="C90" s="205"/>
      <c r="D90" s="205"/>
      <c r="E90" s="205"/>
    </row>
    <row r="91" spans="2:5" x14ac:dyDescent="0.25">
      <c r="B91" s="269" t="s">
        <v>400</v>
      </c>
      <c r="C91" s="202"/>
      <c r="D91" s="202"/>
      <c r="E91" s="202"/>
    </row>
    <row r="93" spans="2:5" x14ac:dyDescent="0.25">
      <c r="B93" s="270" t="s">
        <v>401</v>
      </c>
      <c r="C93" s="202"/>
      <c r="D93" s="202"/>
      <c r="E93" s="202"/>
    </row>
    <row r="94" spans="2:5" x14ac:dyDescent="0.25">
      <c r="B94" s="271" t="s">
        <v>402</v>
      </c>
      <c r="C94" s="271" t="s">
        <v>403</v>
      </c>
      <c r="D94" s="271" t="s">
        <v>404</v>
      </c>
      <c r="E94" s="271" t="s">
        <v>405</v>
      </c>
    </row>
    <row r="95" spans="2:5" x14ac:dyDescent="0.25">
      <c r="B95" s="230" t="s">
        <v>406</v>
      </c>
      <c r="C95" s="230" t="s">
        <v>407</v>
      </c>
      <c r="D95" s="230" t="s">
        <v>408</v>
      </c>
      <c r="E95" s="230" t="s">
        <v>409</v>
      </c>
    </row>
    <row r="96" spans="2:5" x14ac:dyDescent="0.25">
      <c r="B96" s="230" t="s">
        <v>410</v>
      </c>
      <c r="C96" s="230" t="s">
        <v>411</v>
      </c>
      <c r="D96" s="230" t="s">
        <v>24</v>
      </c>
      <c r="E96" s="230" t="s">
        <v>412</v>
      </c>
    </row>
    <row r="97" spans="2:5" x14ac:dyDescent="0.25">
      <c r="B97" s="272" t="s">
        <v>413</v>
      </c>
      <c r="C97" s="272" t="s">
        <v>414</v>
      </c>
      <c r="D97" s="272" t="s">
        <v>30</v>
      </c>
      <c r="E97" s="272" t="s">
        <v>415</v>
      </c>
    </row>
    <row r="98" spans="2:5" x14ac:dyDescent="0.25">
      <c r="B98" s="230" t="s">
        <v>416</v>
      </c>
      <c r="C98" s="230" t="s">
        <v>417</v>
      </c>
      <c r="D98" s="230" t="s">
        <v>26</v>
      </c>
      <c r="E98" s="230" t="s">
        <v>418</v>
      </c>
    </row>
    <row r="99" spans="2:5" x14ac:dyDescent="0.25">
      <c r="B99" s="230" t="s">
        <v>419</v>
      </c>
      <c r="C99" s="230" t="s">
        <v>420</v>
      </c>
      <c r="D99" s="230" t="s">
        <v>30</v>
      </c>
      <c r="E99" s="230" t="s">
        <v>421</v>
      </c>
    </row>
    <row r="101" spans="2:5" x14ac:dyDescent="0.25">
      <c r="B101" s="277" t="s">
        <v>422</v>
      </c>
      <c r="C101" s="276"/>
      <c r="D101" s="276"/>
      <c r="E101" s="276"/>
    </row>
    <row r="102" spans="2:5" x14ac:dyDescent="0.25">
      <c r="B102" s="271" t="s">
        <v>423</v>
      </c>
      <c r="C102" s="271" t="s">
        <v>221</v>
      </c>
      <c r="D102" s="271" t="s">
        <v>424</v>
      </c>
      <c r="E102" s="271" t="s">
        <v>425</v>
      </c>
    </row>
    <row r="103" spans="2:5" x14ac:dyDescent="0.25">
      <c r="B103" s="207" t="s">
        <v>426</v>
      </c>
      <c r="C103" s="207" t="s">
        <v>427</v>
      </c>
      <c r="D103" s="207" t="s">
        <v>428</v>
      </c>
      <c r="E103" s="207" t="s">
        <v>429</v>
      </c>
    </row>
    <row r="104" spans="2:5" x14ac:dyDescent="0.25">
      <c r="B104" s="206" t="s">
        <v>430</v>
      </c>
      <c r="C104" s="206" t="s">
        <v>431</v>
      </c>
      <c r="D104" s="206" t="s">
        <v>432</v>
      </c>
      <c r="E104" s="206" t="s">
        <v>433</v>
      </c>
    </row>
    <row r="105" spans="2:5" x14ac:dyDescent="0.25">
      <c r="B105" s="207" t="s">
        <v>434</v>
      </c>
      <c r="C105" s="207" t="s">
        <v>435</v>
      </c>
      <c r="D105" s="207" t="s">
        <v>436</v>
      </c>
      <c r="E105" s="207" t="s">
        <v>437</v>
      </c>
    </row>
    <row r="106" spans="2:5" x14ac:dyDescent="0.25">
      <c r="B106" s="206" t="s">
        <v>438</v>
      </c>
      <c r="C106" s="206" t="s">
        <v>439</v>
      </c>
      <c r="D106" s="206" t="s">
        <v>440</v>
      </c>
      <c r="E106" s="206" t="s">
        <v>441</v>
      </c>
    </row>
    <row r="107" spans="2:5" x14ac:dyDescent="0.25">
      <c r="B107" s="207" t="s">
        <v>442</v>
      </c>
      <c r="C107" s="207" t="s">
        <v>443</v>
      </c>
      <c r="D107" s="207" t="s">
        <v>444</v>
      </c>
      <c r="E107" s="207" t="s">
        <v>445</v>
      </c>
    </row>
    <row r="108" spans="2:5" x14ac:dyDescent="0.25">
      <c r="B108" s="206" t="s">
        <v>446</v>
      </c>
      <c r="C108" s="206" t="s">
        <v>447</v>
      </c>
      <c r="D108" s="206" t="s">
        <v>448</v>
      </c>
      <c r="E108" s="206" t="s">
        <v>449</v>
      </c>
    </row>
    <row r="109" spans="2:5" x14ac:dyDescent="0.25">
      <c r="B109" s="207" t="s">
        <v>450</v>
      </c>
      <c r="C109" s="207" t="s">
        <v>451</v>
      </c>
      <c r="D109" s="207" t="s">
        <v>432</v>
      </c>
      <c r="E109" s="207" t="s">
        <v>452</v>
      </c>
    </row>
    <row r="110" spans="2:5" x14ac:dyDescent="0.25">
      <c r="B110" s="206" t="s">
        <v>453</v>
      </c>
      <c r="C110" s="206" t="s">
        <v>454</v>
      </c>
      <c r="D110" s="206" t="s">
        <v>455</v>
      </c>
      <c r="E110" s="206" t="s">
        <v>456</v>
      </c>
    </row>
    <row r="112" spans="2:5" x14ac:dyDescent="0.25">
      <c r="B112" s="270" t="s">
        <v>457</v>
      </c>
      <c r="C112" s="202"/>
      <c r="D112" s="202"/>
      <c r="E112" s="202"/>
    </row>
    <row r="113" spans="2:5" x14ac:dyDescent="0.25">
      <c r="B113" s="278" t="s">
        <v>458</v>
      </c>
      <c r="C113" s="279" t="s">
        <v>459</v>
      </c>
      <c r="D113" s="280"/>
      <c r="E113" s="280"/>
    </row>
    <row r="114" spans="2:5" ht="90" x14ac:dyDescent="0.25">
      <c r="B114" s="281" t="s">
        <v>460</v>
      </c>
      <c r="C114" s="282" t="s">
        <v>461</v>
      </c>
      <c r="D114" s="207"/>
      <c r="E114" s="207"/>
    </row>
    <row r="115" spans="2:5" ht="77.25" x14ac:dyDescent="0.25">
      <c r="B115" s="278" t="s">
        <v>462</v>
      </c>
      <c r="C115" s="283" t="s">
        <v>463</v>
      </c>
      <c r="D115" s="206"/>
      <c r="E115" s="206"/>
    </row>
    <row r="116" spans="2:5" ht="90" x14ac:dyDescent="0.25">
      <c r="B116" s="281" t="s">
        <v>464</v>
      </c>
      <c r="C116" s="282" t="s">
        <v>465</v>
      </c>
      <c r="D116" s="207"/>
      <c r="E116" s="207"/>
    </row>
    <row r="117" spans="2:5" ht="102.75" x14ac:dyDescent="0.25">
      <c r="B117" s="278" t="s">
        <v>466</v>
      </c>
      <c r="C117" s="283" t="s">
        <v>467</v>
      </c>
      <c r="D117" s="206"/>
      <c r="E117" s="206"/>
    </row>
    <row r="119" spans="2:5" x14ac:dyDescent="0.25">
      <c r="B119" s="222" t="s">
        <v>468</v>
      </c>
      <c r="C119" s="223"/>
      <c r="D119" s="223"/>
      <c r="E119" s="224"/>
    </row>
    <row r="120" spans="2:5" ht="29.25" customHeight="1" x14ac:dyDescent="0.25">
      <c r="B120" s="285" t="s">
        <v>469</v>
      </c>
      <c r="C120" s="286"/>
      <c r="D120" s="286"/>
      <c r="E120" s="287"/>
    </row>
    <row r="121" spans="2:5" x14ac:dyDescent="0.25">
      <c r="B121" s="288"/>
      <c r="C121" s="289"/>
      <c r="D121" s="289"/>
      <c r="E121" s="290"/>
    </row>
    <row r="122" spans="2:5" x14ac:dyDescent="0.25">
      <c r="B122" s="274"/>
      <c r="C122" s="273"/>
      <c r="D122" s="273"/>
      <c r="E122" s="275"/>
    </row>
    <row r="124" spans="2:5" x14ac:dyDescent="0.25">
      <c r="B124" s="248" t="s">
        <v>470</v>
      </c>
      <c r="C124" s="202"/>
      <c r="D124" s="202"/>
      <c r="E124" s="202"/>
    </row>
    <row r="125" spans="2:5" x14ac:dyDescent="0.25">
      <c r="B125" s="291" t="s">
        <v>471</v>
      </c>
      <c r="C125" s="292" t="str">
        <f>C60&amp;" hrs"</f>
        <v>4320 hrs</v>
      </c>
    </row>
    <row r="126" spans="2:5" x14ac:dyDescent="0.25">
      <c r="B126" s="291" t="s">
        <v>472</v>
      </c>
      <c r="C126" s="292" t="str">
        <f>C71&amp;" hrs"</f>
        <v>2160 hrs</v>
      </c>
    </row>
    <row r="127" spans="2:5" x14ac:dyDescent="0.25">
      <c r="B127" s="291" t="s">
        <v>473</v>
      </c>
      <c r="C127" s="292" t="str">
        <f>C78&amp;" hrs"</f>
        <v>1452.5 hrs</v>
      </c>
    </row>
    <row r="128" spans="2:5" x14ac:dyDescent="0.25">
      <c r="B128" s="291" t="s">
        <v>474</v>
      </c>
      <c r="C128" s="292" t="str">
        <f>C85&amp;"%"</f>
        <v>67.2%</v>
      </c>
    </row>
    <row r="129" spans="2:3" x14ac:dyDescent="0.25">
      <c r="B129" s="291" t="s">
        <v>475</v>
      </c>
      <c r="C129" s="292" t="str">
        <f>ROUND(100-C85,1)&amp;"%"</f>
        <v>32.8%</v>
      </c>
    </row>
  </sheetData>
  <mergeCells count="33">
    <mergeCell ref="B120:E121"/>
    <mergeCell ref="B124:E124"/>
    <mergeCell ref="B93:E93"/>
    <mergeCell ref="B101:E101"/>
    <mergeCell ref="B112:E112"/>
    <mergeCell ref="C113:E113"/>
    <mergeCell ref="B119:E119"/>
    <mergeCell ref="B73:E73"/>
    <mergeCell ref="B80:E80"/>
    <mergeCell ref="B87:E87"/>
    <mergeCell ref="B89:E89"/>
    <mergeCell ref="B91:E91"/>
    <mergeCell ref="B55:J55"/>
    <mergeCell ref="B59:E59"/>
    <mergeCell ref="B56:E56"/>
    <mergeCell ref="B62:E62"/>
    <mergeCell ref="B70:E70"/>
    <mergeCell ref="B26:J26"/>
    <mergeCell ref="B51:G51"/>
    <mergeCell ref="B28:B29"/>
    <mergeCell ref="B30:B32"/>
    <mergeCell ref="B33:B34"/>
    <mergeCell ref="B35:B37"/>
    <mergeCell ref="B38:B39"/>
    <mergeCell ref="B41:B42"/>
    <mergeCell ref="B43:B44"/>
    <mergeCell ref="B45:B46"/>
    <mergeCell ref="B47:B48"/>
    <mergeCell ref="B11:I11"/>
    <mergeCell ref="B3:I3"/>
    <mergeCell ref="B5:I5"/>
    <mergeCell ref="B2:I2"/>
    <mergeCell ref="B12:I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0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2.85546875" customWidth="1"/>
    <col min="2" max="2" width="41.85546875" customWidth="1"/>
    <col min="3" max="4" width="22.85546875" customWidth="1"/>
    <col min="5" max="6" width="19" customWidth="1"/>
    <col min="7" max="7" width="2.85546875" customWidth="1"/>
  </cols>
  <sheetData>
    <row r="1" spans="1:7" x14ac:dyDescent="0.25">
      <c r="A1" s="124"/>
      <c r="B1" s="6"/>
      <c r="C1" s="6"/>
      <c r="D1" s="6"/>
      <c r="E1" s="6"/>
      <c r="F1" s="6"/>
      <c r="G1" s="6"/>
    </row>
    <row r="2" spans="1:7" ht="35.1" customHeight="1" x14ac:dyDescent="0.25">
      <c r="A2" s="6"/>
      <c r="B2" s="154" t="s">
        <v>122</v>
      </c>
      <c r="C2" s="142"/>
      <c r="D2" s="142"/>
      <c r="E2" s="142"/>
      <c r="F2" s="142"/>
      <c r="G2" s="6"/>
    </row>
    <row r="3" spans="1:7" ht="24.95" customHeight="1" thickBot="1" x14ac:dyDescent="0.3">
      <c r="A3" s="6"/>
      <c r="B3" s="149" t="s">
        <v>123</v>
      </c>
      <c r="C3" s="150"/>
      <c r="D3" s="150"/>
      <c r="E3" s="150"/>
      <c r="F3" s="150"/>
      <c r="G3" s="6"/>
    </row>
    <row r="4" spans="1:7" ht="8.1" customHeight="1" thickTop="1" x14ac:dyDescent="0.25">
      <c r="A4" s="6"/>
      <c r="B4" s="10"/>
      <c r="C4" s="10"/>
      <c r="D4" s="10"/>
      <c r="E4" s="10"/>
      <c r="F4" s="10"/>
      <c r="G4" s="6"/>
    </row>
    <row r="5" spans="1:7" ht="27.95" customHeight="1" thickBot="1" x14ac:dyDescent="0.35">
      <c r="A5" s="6"/>
      <c r="B5" s="155" t="s">
        <v>124</v>
      </c>
      <c r="C5" s="151"/>
      <c r="D5" s="151"/>
      <c r="E5" s="151"/>
      <c r="F5" s="151"/>
      <c r="G5" s="6"/>
    </row>
    <row r="6" spans="1:7" ht="27.95" customHeight="1" x14ac:dyDescent="0.25">
      <c r="A6" s="6"/>
      <c r="B6" s="37" t="s">
        <v>125</v>
      </c>
      <c r="C6" s="38" t="s">
        <v>126</v>
      </c>
      <c r="D6" s="38" t="s">
        <v>127</v>
      </c>
      <c r="E6" s="38" t="s">
        <v>128</v>
      </c>
      <c r="F6" s="39" t="s">
        <v>129</v>
      </c>
      <c r="G6" s="6"/>
    </row>
    <row r="7" spans="1:7" ht="21.95" customHeight="1" x14ac:dyDescent="0.25">
      <c r="A7" s="6"/>
      <c r="B7" s="40" t="s">
        <v>130</v>
      </c>
      <c r="C7" s="378">
        <v>320</v>
      </c>
      <c r="D7" s="378">
        <v>1</v>
      </c>
      <c r="E7" s="379">
        <f t="shared" ref="E7:E12" si="0">C7*D7</f>
        <v>320</v>
      </c>
      <c r="F7" s="62">
        <v>0.85</v>
      </c>
      <c r="G7" s="6"/>
    </row>
    <row r="8" spans="1:7" ht="21.95" customHeight="1" x14ac:dyDescent="0.25">
      <c r="A8" s="6"/>
      <c r="B8" s="41" t="s">
        <v>131</v>
      </c>
      <c r="C8" s="380">
        <v>240</v>
      </c>
      <c r="D8" s="380">
        <v>0.9</v>
      </c>
      <c r="E8" s="381">
        <f t="shared" si="0"/>
        <v>216</v>
      </c>
      <c r="F8" s="63">
        <v>0.7</v>
      </c>
      <c r="G8" s="6"/>
    </row>
    <row r="9" spans="1:7" ht="21.95" customHeight="1" x14ac:dyDescent="0.25">
      <c r="A9" s="6"/>
      <c r="B9" s="40" t="s">
        <v>132</v>
      </c>
      <c r="C9" s="378">
        <v>180</v>
      </c>
      <c r="D9" s="378">
        <v>1.1000000000000001</v>
      </c>
      <c r="E9" s="379">
        <f t="shared" si="0"/>
        <v>198.00000000000003</v>
      </c>
      <c r="F9" s="62">
        <v>0.6</v>
      </c>
      <c r="G9" s="6"/>
    </row>
    <row r="10" spans="1:7" ht="21.95" customHeight="1" x14ac:dyDescent="0.25">
      <c r="A10" s="6"/>
      <c r="B10" s="41" t="s">
        <v>133</v>
      </c>
      <c r="C10" s="380">
        <v>280</v>
      </c>
      <c r="D10" s="380">
        <v>1.2</v>
      </c>
      <c r="E10" s="381">
        <f t="shared" si="0"/>
        <v>336</v>
      </c>
      <c r="F10" s="63">
        <v>0.75</v>
      </c>
      <c r="G10" s="6"/>
    </row>
    <row r="11" spans="1:7" ht="21.95" customHeight="1" x14ac:dyDescent="0.25">
      <c r="A11" s="6"/>
      <c r="B11" s="40" t="s">
        <v>134</v>
      </c>
      <c r="C11" s="378">
        <v>400</v>
      </c>
      <c r="D11" s="378">
        <v>1.3</v>
      </c>
      <c r="E11" s="379">
        <f t="shared" si="0"/>
        <v>520</v>
      </c>
      <c r="F11" s="62">
        <v>0.5</v>
      </c>
      <c r="G11" s="6"/>
    </row>
    <row r="12" spans="1:7" ht="21.95" customHeight="1" thickBot="1" x14ac:dyDescent="0.3">
      <c r="A12" s="6"/>
      <c r="B12" s="64" t="s">
        <v>135</v>
      </c>
      <c r="C12" s="382">
        <v>350</v>
      </c>
      <c r="D12" s="382">
        <v>1.1000000000000001</v>
      </c>
      <c r="E12" s="383">
        <f t="shared" si="0"/>
        <v>385.00000000000006</v>
      </c>
      <c r="F12" s="65">
        <v>0.65</v>
      </c>
      <c r="G12" s="6"/>
    </row>
    <row r="13" spans="1:7" ht="27.95" customHeight="1" thickBot="1" x14ac:dyDescent="0.35">
      <c r="A13" s="6"/>
      <c r="B13" s="158" t="s">
        <v>136</v>
      </c>
      <c r="C13" s="159"/>
      <c r="D13" s="159"/>
      <c r="E13" s="159"/>
      <c r="F13" s="151"/>
      <c r="G13" s="6"/>
    </row>
    <row r="14" spans="1:7" ht="30" customHeight="1" x14ac:dyDescent="0.3">
      <c r="A14" s="6"/>
      <c r="B14" s="156" t="s">
        <v>137</v>
      </c>
      <c r="C14" s="157"/>
      <c r="D14" s="67"/>
      <c r="E14" s="384">
        <f>ROUND(SUMPRODUCT(E7:E12,F7:F12)/SUM(F7:F12),1)</f>
        <v>322</v>
      </c>
      <c r="F14" s="66" t="str">
        <f>IF(E14&lt;200,"🟢 Low Effort",IF(E14&lt;400,"🟡 Medium","🔴 High Effort"))</f>
        <v>🟡 Medium</v>
      </c>
      <c r="G14" s="6"/>
    </row>
    <row r="15" spans="1:7" x14ac:dyDescent="0.25">
      <c r="A15" s="6"/>
      <c r="B15" s="6"/>
      <c r="C15" s="6"/>
      <c r="D15" s="6"/>
      <c r="E15" s="6"/>
      <c r="F15" s="6"/>
      <c r="G15" s="6"/>
    </row>
    <row r="16" spans="1:7" x14ac:dyDescent="0.25">
      <c r="A16" s="6"/>
      <c r="B16" s="6"/>
      <c r="C16" s="6"/>
      <c r="D16" s="6"/>
      <c r="E16" s="6"/>
      <c r="F16" s="6"/>
      <c r="G16" s="6"/>
    </row>
    <row r="17" spans="1:7" x14ac:dyDescent="0.25">
      <c r="A17" s="6"/>
      <c r="B17" s="6"/>
      <c r="C17" s="6"/>
      <c r="D17" s="6"/>
      <c r="E17" s="6"/>
      <c r="F17" s="6"/>
      <c r="G17" s="6"/>
    </row>
    <row r="18" spans="1:7" x14ac:dyDescent="0.25">
      <c r="A18" s="6"/>
      <c r="B18" s="6"/>
      <c r="C18" s="6"/>
      <c r="D18" s="6"/>
      <c r="E18" s="6"/>
      <c r="F18" s="6"/>
      <c r="G18" s="6"/>
    </row>
    <row r="19" spans="1:7" x14ac:dyDescent="0.25">
      <c r="A19" s="6"/>
      <c r="B19" s="6"/>
      <c r="C19" s="6"/>
      <c r="D19" s="6"/>
      <c r="E19" s="6"/>
      <c r="F19" s="6"/>
      <c r="G19" s="6"/>
    </row>
    <row r="20" spans="1:7" x14ac:dyDescent="0.25">
      <c r="A20" s="6"/>
      <c r="B20" s="6"/>
      <c r="C20" s="6"/>
      <c r="D20" s="6"/>
      <c r="E20" s="6"/>
      <c r="F20" s="6"/>
      <c r="G20" s="6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1"/>
      <c r="B40" s="1"/>
      <c r="C40" s="1"/>
      <c r="D40" s="1"/>
      <c r="E40" s="1"/>
      <c r="F40" s="1"/>
      <c r="G40" s="1"/>
    </row>
    <row r="41" spans="1:7" x14ac:dyDescent="0.25">
      <c r="A41" s="1"/>
      <c r="B41" s="1"/>
      <c r="C41" s="1"/>
      <c r="D41" s="1"/>
      <c r="E41" s="1"/>
      <c r="F41" s="1"/>
      <c r="G41" s="1"/>
    </row>
    <row r="42" spans="1:7" x14ac:dyDescent="0.25">
      <c r="A42" s="1"/>
      <c r="B42" s="1"/>
      <c r="C42" s="1"/>
      <c r="D42" s="1"/>
      <c r="E42" s="1"/>
      <c r="F42" s="1"/>
      <c r="G42" s="1"/>
    </row>
    <row r="43" spans="1:7" x14ac:dyDescent="0.25">
      <c r="A43" s="1"/>
      <c r="B43" s="1"/>
      <c r="C43" s="1"/>
      <c r="D43" s="1"/>
      <c r="E43" s="1"/>
      <c r="F43" s="1"/>
      <c r="G43" s="1"/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x14ac:dyDescent="0.25">
      <c r="A46" s="1"/>
      <c r="B46" s="1"/>
      <c r="C46" s="1"/>
      <c r="D46" s="1"/>
      <c r="E46" s="1"/>
      <c r="F46" s="1"/>
      <c r="G46" s="1"/>
    </row>
    <row r="47" spans="1:7" x14ac:dyDescent="0.25">
      <c r="A47" s="1"/>
      <c r="B47" s="1"/>
      <c r="C47" s="1"/>
      <c r="D47" s="1"/>
      <c r="E47" s="1"/>
      <c r="F47" s="1"/>
      <c r="G47" s="1"/>
    </row>
    <row r="48" spans="1:7" x14ac:dyDescent="0.25">
      <c r="A48" s="1"/>
      <c r="B48" s="1"/>
      <c r="C48" s="1"/>
      <c r="D48" s="1"/>
      <c r="E48" s="1"/>
      <c r="F48" s="1"/>
      <c r="G48" s="1"/>
    </row>
    <row r="49" spans="1:7" x14ac:dyDescent="0.25">
      <c r="A49" s="1"/>
      <c r="B49" s="1"/>
      <c r="C49" s="1"/>
      <c r="D49" s="1"/>
      <c r="E49" s="1"/>
      <c r="F49" s="1"/>
      <c r="G49" s="1"/>
    </row>
    <row r="50" spans="1:7" x14ac:dyDescent="0.25">
      <c r="A50" s="1"/>
      <c r="B50" s="1"/>
      <c r="C50" s="1"/>
      <c r="D50" s="1"/>
      <c r="E50" s="1"/>
      <c r="F50" s="1"/>
      <c r="G50" s="1"/>
    </row>
    <row r="51" spans="1:7" x14ac:dyDescent="0.25">
      <c r="A51" s="1"/>
      <c r="B51" s="1"/>
      <c r="C51" s="1"/>
      <c r="D51" s="1"/>
      <c r="E51" s="1"/>
      <c r="F51" s="1"/>
      <c r="G51" s="1"/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x14ac:dyDescent="0.25">
      <c r="A54" s="1"/>
      <c r="B54" s="1"/>
      <c r="C54" s="1"/>
      <c r="D54" s="1"/>
      <c r="E54" s="1"/>
      <c r="F54" s="1"/>
      <c r="G54" s="1"/>
    </row>
    <row r="55" spans="1:7" x14ac:dyDescent="0.25">
      <c r="A55" s="1"/>
      <c r="B55" s="1"/>
      <c r="C55" s="1"/>
      <c r="D55" s="1"/>
      <c r="E55" s="1"/>
      <c r="F55" s="1"/>
      <c r="G55" s="1"/>
    </row>
    <row r="56" spans="1:7" x14ac:dyDescent="0.25">
      <c r="A56" s="1"/>
      <c r="B56" s="1"/>
      <c r="C56" s="1"/>
      <c r="D56" s="1"/>
      <c r="E56" s="1"/>
      <c r="F56" s="1"/>
      <c r="G56" s="1"/>
    </row>
    <row r="57" spans="1:7" x14ac:dyDescent="0.25">
      <c r="A57" s="1"/>
      <c r="B57" s="1"/>
      <c r="C57" s="1"/>
      <c r="D57" s="1"/>
      <c r="E57" s="1"/>
      <c r="F57" s="1"/>
      <c r="G57" s="1"/>
    </row>
    <row r="58" spans="1:7" x14ac:dyDescent="0.25">
      <c r="A58" s="1"/>
      <c r="B58" s="1"/>
      <c r="C58" s="1"/>
      <c r="D58" s="1"/>
      <c r="E58" s="1"/>
      <c r="F58" s="1"/>
      <c r="G58" s="1"/>
    </row>
    <row r="59" spans="1:7" x14ac:dyDescent="0.25">
      <c r="A59" s="1"/>
      <c r="B59" s="1"/>
      <c r="C59" s="1"/>
      <c r="D59" s="1"/>
      <c r="E59" s="1"/>
      <c r="F59" s="1"/>
      <c r="G59" s="1"/>
    </row>
    <row r="60" spans="1:7" x14ac:dyDescent="0.25">
      <c r="A60" s="1"/>
      <c r="B60" s="1"/>
      <c r="C60" s="1"/>
      <c r="D60" s="1"/>
      <c r="E60" s="1"/>
      <c r="F60" s="1"/>
      <c r="G60" s="1"/>
    </row>
  </sheetData>
  <mergeCells count="5">
    <mergeCell ref="B2:F2"/>
    <mergeCell ref="B3:F3"/>
    <mergeCell ref="B5:F5"/>
    <mergeCell ref="B14:C14"/>
    <mergeCell ref="B13:F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0"/>
  <sheetViews>
    <sheetView showGridLines="0" workbookViewId="0">
      <pane ySplit="12" topLeftCell="A13" activePane="bottomLeft" state="frozen"/>
      <selection pane="bottomLeft" activeCell="A13" sqref="A13"/>
    </sheetView>
  </sheetViews>
  <sheetFormatPr defaultRowHeight="15" x14ac:dyDescent="0.25"/>
  <cols>
    <col min="1" max="1" width="2.85546875" customWidth="1"/>
    <col min="2" max="2" width="38.140625" customWidth="1"/>
    <col min="3" max="3" width="19" customWidth="1"/>
    <col min="4" max="4" width="30" bestFit="1" customWidth="1"/>
    <col min="5" max="5" width="19" customWidth="1"/>
    <col min="6" max="6" width="15.28515625" customWidth="1"/>
    <col min="7" max="7" width="21" customWidth="1"/>
    <col min="8" max="8" width="15.28515625" customWidth="1"/>
    <col min="9" max="9" width="2.85546875" customWidth="1"/>
  </cols>
  <sheetData>
    <row r="1" spans="1:9" x14ac:dyDescent="0.25">
      <c r="A1" s="124"/>
      <c r="B1" s="6"/>
      <c r="C1" s="6"/>
      <c r="D1" s="6"/>
      <c r="E1" s="6"/>
      <c r="F1" s="6"/>
      <c r="G1" s="6"/>
      <c r="H1" s="6"/>
      <c r="I1" s="6"/>
    </row>
    <row r="2" spans="1:9" ht="35.1" customHeight="1" x14ac:dyDescent="0.25">
      <c r="A2" s="6"/>
      <c r="B2" s="160" t="s">
        <v>138</v>
      </c>
      <c r="C2" s="142"/>
      <c r="D2" s="142"/>
      <c r="E2" s="142"/>
      <c r="F2" s="142"/>
      <c r="G2" s="142"/>
      <c r="H2" s="142"/>
      <c r="I2" s="6"/>
    </row>
    <row r="3" spans="1:9" ht="24.95" customHeight="1" thickBot="1" x14ac:dyDescent="0.3">
      <c r="A3" s="6"/>
      <c r="B3" s="149" t="s">
        <v>139</v>
      </c>
      <c r="C3" s="150"/>
      <c r="D3" s="150"/>
      <c r="E3" s="150"/>
      <c r="F3" s="150"/>
      <c r="G3" s="150"/>
      <c r="H3" s="150"/>
      <c r="I3" s="6"/>
    </row>
    <row r="4" spans="1:9" ht="8.1" customHeight="1" thickTop="1" x14ac:dyDescent="0.25">
      <c r="A4" s="6"/>
      <c r="B4" s="10"/>
      <c r="C4" s="10"/>
      <c r="D4" s="10"/>
      <c r="E4" s="10"/>
      <c r="F4" s="10"/>
      <c r="G4" s="10"/>
      <c r="H4" s="10"/>
      <c r="I4" s="6"/>
    </row>
    <row r="5" spans="1:9" ht="27.95" customHeight="1" x14ac:dyDescent="0.3">
      <c r="A5" s="6"/>
      <c r="B5" s="162" t="s">
        <v>140</v>
      </c>
      <c r="C5" s="151"/>
      <c r="D5" s="151"/>
      <c r="E5" s="151"/>
      <c r="F5" s="151"/>
      <c r="G5" s="151"/>
      <c r="H5" s="151"/>
      <c r="I5" s="6"/>
    </row>
    <row r="6" spans="1:9" ht="21.95" customHeight="1" x14ac:dyDescent="0.25">
      <c r="A6" s="6"/>
      <c r="B6" s="25" t="s">
        <v>141</v>
      </c>
      <c r="C6" s="68" t="s">
        <v>142</v>
      </c>
      <c r="D6" s="68" t="s">
        <v>143</v>
      </c>
      <c r="E6" s="69" t="s">
        <v>144</v>
      </c>
      <c r="F6" s="6"/>
      <c r="G6" s="6"/>
      <c r="H6" s="6"/>
      <c r="I6" s="6"/>
    </row>
    <row r="7" spans="1:9" ht="21.95" customHeight="1" x14ac:dyDescent="0.25">
      <c r="A7" s="6"/>
      <c r="B7" s="27" t="s">
        <v>145</v>
      </c>
      <c r="C7" s="54">
        <v>5</v>
      </c>
      <c r="D7" s="54">
        <v>10</v>
      </c>
      <c r="E7" s="70">
        <v>15</v>
      </c>
      <c r="F7" s="6"/>
      <c r="G7" s="6"/>
      <c r="H7" s="6"/>
      <c r="I7" s="6"/>
    </row>
    <row r="8" spans="1:9" ht="21.95" customHeight="1" x14ac:dyDescent="0.25">
      <c r="A8" s="6"/>
      <c r="B8" s="29" t="s">
        <v>146</v>
      </c>
      <c r="C8" s="55" t="s">
        <v>147</v>
      </c>
      <c r="D8" s="55" t="s">
        <v>148</v>
      </c>
      <c r="E8" s="71" t="s">
        <v>149</v>
      </c>
      <c r="F8" s="6"/>
      <c r="G8" s="6"/>
      <c r="H8" s="6"/>
      <c r="I8" s="6"/>
    </row>
    <row r="9" spans="1:9" ht="21.95" customHeight="1" x14ac:dyDescent="0.25">
      <c r="A9" s="6"/>
      <c r="B9" s="31" t="s">
        <v>150</v>
      </c>
      <c r="C9" s="72">
        <v>1</v>
      </c>
      <c r="D9" s="72">
        <v>2</v>
      </c>
      <c r="E9" s="73">
        <v>3</v>
      </c>
      <c r="F9" s="6"/>
      <c r="G9" s="6"/>
      <c r="H9" s="6"/>
      <c r="I9" s="6"/>
    </row>
    <row r="10" spans="1:9" x14ac:dyDescent="0.25">
      <c r="A10" s="6"/>
      <c r="B10" s="6"/>
      <c r="C10" s="6"/>
      <c r="D10" s="6"/>
      <c r="E10" s="6"/>
      <c r="F10" s="6"/>
      <c r="G10" s="6"/>
      <c r="H10" s="6"/>
      <c r="I10" s="6"/>
    </row>
    <row r="11" spans="1:9" ht="27.95" customHeight="1" thickBot="1" x14ac:dyDescent="0.35">
      <c r="A11" s="6"/>
      <c r="B11" s="162" t="s">
        <v>151</v>
      </c>
      <c r="C11" s="151"/>
      <c r="D11" s="151"/>
      <c r="E11" s="151"/>
      <c r="F11" s="151"/>
      <c r="G11" s="151"/>
      <c r="H11" s="151"/>
      <c r="I11" s="6"/>
    </row>
    <row r="12" spans="1:9" ht="27.95" customHeight="1" x14ac:dyDescent="0.25">
      <c r="A12" s="6"/>
      <c r="B12" s="37" t="s">
        <v>152</v>
      </c>
      <c r="C12" s="38" t="s">
        <v>153</v>
      </c>
      <c r="D12" s="38" t="s">
        <v>154</v>
      </c>
      <c r="E12" s="38" t="s">
        <v>155</v>
      </c>
      <c r="F12" s="38" t="s">
        <v>156</v>
      </c>
      <c r="G12" s="38" t="s">
        <v>157</v>
      </c>
      <c r="H12" s="39"/>
      <c r="I12" s="6"/>
    </row>
    <row r="13" spans="1:9" ht="21.95" customHeight="1" x14ac:dyDescent="0.25">
      <c r="A13" s="6"/>
      <c r="B13" s="40" t="s">
        <v>158</v>
      </c>
      <c r="C13" s="55" t="s">
        <v>159</v>
      </c>
      <c r="D13" s="51">
        <v>5</v>
      </c>
      <c r="E13" s="55" t="s">
        <v>159</v>
      </c>
      <c r="F13" s="51">
        <v>1</v>
      </c>
      <c r="G13" s="55">
        <f>D13+F13</f>
        <v>6</v>
      </c>
      <c r="H13" s="44"/>
      <c r="I13" s="6"/>
    </row>
    <row r="14" spans="1:9" ht="21.95" customHeight="1" x14ac:dyDescent="0.25">
      <c r="A14" s="6"/>
      <c r="B14" s="41" t="s">
        <v>160</v>
      </c>
      <c r="C14" s="54" t="s">
        <v>159</v>
      </c>
      <c r="D14" s="57">
        <v>5</v>
      </c>
      <c r="E14" s="54" t="s">
        <v>161</v>
      </c>
      <c r="F14" s="57">
        <v>2</v>
      </c>
      <c r="G14" s="54">
        <f>D14+F14</f>
        <v>7</v>
      </c>
      <c r="H14" s="45"/>
      <c r="I14" s="6"/>
    </row>
    <row r="15" spans="1:9" ht="21.95" customHeight="1" x14ac:dyDescent="0.25">
      <c r="A15" s="6"/>
      <c r="B15" s="40" t="s">
        <v>162</v>
      </c>
      <c r="C15" s="55" t="s">
        <v>161</v>
      </c>
      <c r="D15" s="51">
        <v>10</v>
      </c>
      <c r="E15" s="55" t="s">
        <v>161</v>
      </c>
      <c r="F15" s="51">
        <v>2</v>
      </c>
      <c r="G15" s="55">
        <f>D15+F15</f>
        <v>12</v>
      </c>
      <c r="H15" s="44"/>
      <c r="I15" s="6"/>
    </row>
    <row r="16" spans="1:9" ht="21.95" customHeight="1" x14ac:dyDescent="0.25">
      <c r="A16" s="6"/>
      <c r="B16" s="41" t="s">
        <v>163</v>
      </c>
      <c r="C16" s="54" t="s">
        <v>161</v>
      </c>
      <c r="D16" s="57">
        <v>10</v>
      </c>
      <c r="E16" s="54" t="s">
        <v>161</v>
      </c>
      <c r="F16" s="57">
        <v>2</v>
      </c>
      <c r="G16" s="54">
        <f>D16+F16</f>
        <v>12</v>
      </c>
      <c r="H16" s="45"/>
      <c r="I16" s="6"/>
    </row>
    <row r="17" spans="1:9" ht="21.95" customHeight="1" x14ac:dyDescent="0.25">
      <c r="A17" s="6"/>
      <c r="B17" s="40" t="s">
        <v>164</v>
      </c>
      <c r="C17" s="55" t="s">
        <v>161</v>
      </c>
      <c r="D17" s="51">
        <v>10</v>
      </c>
      <c r="E17" s="55" t="s">
        <v>165</v>
      </c>
      <c r="F17" s="51">
        <v>3</v>
      </c>
      <c r="G17" s="55">
        <f t="shared" ref="G17:G26" si="0">D17+F17</f>
        <v>13</v>
      </c>
      <c r="H17" s="44"/>
      <c r="I17" s="6"/>
    </row>
    <row r="18" spans="1:9" ht="21.95" customHeight="1" x14ac:dyDescent="0.25">
      <c r="A18" s="6"/>
      <c r="B18" s="41" t="s">
        <v>166</v>
      </c>
      <c r="C18" s="54" t="s">
        <v>165</v>
      </c>
      <c r="D18" s="57">
        <v>15</v>
      </c>
      <c r="E18" s="54" t="s">
        <v>165</v>
      </c>
      <c r="F18" s="57">
        <v>3</v>
      </c>
      <c r="G18" s="54">
        <f t="shared" si="0"/>
        <v>18</v>
      </c>
      <c r="H18" s="45"/>
      <c r="I18" s="6"/>
    </row>
    <row r="19" spans="1:9" ht="21.95" customHeight="1" x14ac:dyDescent="0.25">
      <c r="A19" s="6"/>
      <c r="B19" s="40" t="s">
        <v>167</v>
      </c>
      <c r="C19" s="55" t="s">
        <v>165</v>
      </c>
      <c r="D19" s="51">
        <v>15</v>
      </c>
      <c r="E19" s="55" t="s">
        <v>165</v>
      </c>
      <c r="F19" s="51">
        <v>3</v>
      </c>
      <c r="G19" s="55">
        <f t="shared" si="0"/>
        <v>18</v>
      </c>
      <c r="H19" s="44"/>
      <c r="I19" s="6"/>
    </row>
    <row r="20" spans="1:9" ht="21.95" customHeight="1" x14ac:dyDescent="0.25">
      <c r="A20" s="6"/>
      <c r="B20" s="41" t="s">
        <v>168</v>
      </c>
      <c r="C20" s="54" t="s">
        <v>161</v>
      </c>
      <c r="D20" s="57">
        <v>10</v>
      </c>
      <c r="E20" s="54" t="s">
        <v>161</v>
      </c>
      <c r="F20" s="57">
        <v>2</v>
      </c>
      <c r="G20" s="54">
        <f t="shared" si="0"/>
        <v>12</v>
      </c>
      <c r="H20" s="45"/>
      <c r="I20" s="6"/>
    </row>
    <row r="21" spans="1:9" ht="21.95" customHeight="1" x14ac:dyDescent="0.25">
      <c r="A21" s="6"/>
      <c r="B21" s="40" t="s">
        <v>169</v>
      </c>
      <c r="C21" s="55" t="s">
        <v>161</v>
      </c>
      <c r="D21" s="51">
        <v>10</v>
      </c>
      <c r="E21" s="55" t="s">
        <v>161</v>
      </c>
      <c r="F21" s="51">
        <v>2</v>
      </c>
      <c r="G21" s="55">
        <f t="shared" si="0"/>
        <v>12</v>
      </c>
      <c r="H21" s="44"/>
      <c r="I21" s="6"/>
    </row>
    <row r="22" spans="1:9" ht="21.95" customHeight="1" x14ac:dyDescent="0.25">
      <c r="A22" s="6"/>
      <c r="B22" s="41" t="s">
        <v>170</v>
      </c>
      <c r="C22" s="54" t="s">
        <v>165</v>
      </c>
      <c r="D22" s="57">
        <v>15</v>
      </c>
      <c r="E22" s="54" t="s">
        <v>161</v>
      </c>
      <c r="F22" s="57">
        <v>2</v>
      </c>
      <c r="G22" s="54">
        <f t="shared" si="0"/>
        <v>17</v>
      </c>
      <c r="H22" s="45"/>
      <c r="I22" s="6"/>
    </row>
    <row r="23" spans="1:9" ht="21.95" customHeight="1" x14ac:dyDescent="0.25">
      <c r="A23" s="6"/>
      <c r="B23" s="40" t="s">
        <v>171</v>
      </c>
      <c r="C23" s="55" t="s">
        <v>161</v>
      </c>
      <c r="D23" s="51">
        <v>10</v>
      </c>
      <c r="E23" s="55" t="s">
        <v>159</v>
      </c>
      <c r="F23" s="51">
        <v>1</v>
      </c>
      <c r="G23" s="55">
        <f t="shared" si="0"/>
        <v>11</v>
      </c>
      <c r="H23" s="44"/>
      <c r="I23" s="6"/>
    </row>
    <row r="24" spans="1:9" ht="21.95" customHeight="1" x14ac:dyDescent="0.25">
      <c r="A24" s="6"/>
      <c r="B24" s="41" t="s">
        <v>172</v>
      </c>
      <c r="C24" s="54" t="s">
        <v>161</v>
      </c>
      <c r="D24" s="57">
        <v>10</v>
      </c>
      <c r="E24" s="54" t="s">
        <v>159</v>
      </c>
      <c r="F24" s="57">
        <v>1</v>
      </c>
      <c r="G24" s="54">
        <f t="shared" si="0"/>
        <v>11</v>
      </c>
      <c r="H24" s="45"/>
      <c r="I24" s="6"/>
    </row>
    <row r="25" spans="1:9" ht="21.95" customHeight="1" x14ac:dyDescent="0.25">
      <c r="A25" s="6"/>
      <c r="B25" s="40" t="s">
        <v>173</v>
      </c>
      <c r="C25" s="55" t="s">
        <v>159</v>
      </c>
      <c r="D25" s="51">
        <v>5</v>
      </c>
      <c r="E25" s="55" t="s">
        <v>161</v>
      </c>
      <c r="F25" s="51">
        <v>2</v>
      </c>
      <c r="G25" s="55">
        <f t="shared" si="0"/>
        <v>7</v>
      </c>
      <c r="H25" s="44"/>
      <c r="I25" s="6"/>
    </row>
    <row r="26" spans="1:9" ht="21.95" customHeight="1" x14ac:dyDescent="0.25">
      <c r="A26" s="6"/>
      <c r="B26" s="41" t="s">
        <v>174</v>
      </c>
      <c r="C26" s="54" t="s">
        <v>165</v>
      </c>
      <c r="D26" s="57">
        <v>15</v>
      </c>
      <c r="E26" s="54" t="s">
        <v>161</v>
      </c>
      <c r="F26" s="57">
        <v>2</v>
      </c>
      <c r="G26" s="54">
        <f t="shared" si="0"/>
        <v>17</v>
      </c>
      <c r="H26" s="45"/>
      <c r="I26" s="6"/>
    </row>
    <row r="27" spans="1:9" ht="27.95" customHeight="1" thickBot="1" x14ac:dyDescent="0.3">
      <c r="A27" s="6"/>
      <c r="B27" s="42" t="s">
        <v>83</v>
      </c>
      <c r="C27" s="60"/>
      <c r="D27" s="60">
        <f>SUM(D13:D26)</f>
        <v>145</v>
      </c>
      <c r="E27" s="60"/>
      <c r="F27" s="60">
        <f>SUM(F13:F26)</f>
        <v>28</v>
      </c>
      <c r="G27" s="60">
        <f>SUM(G13:G26)</f>
        <v>173</v>
      </c>
      <c r="H27" s="61"/>
      <c r="I27" s="6"/>
    </row>
    <row r="28" spans="1:9" x14ac:dyDescent="0.25">
      <c r="A28" s="6"/>
      <c r="B28" s="6"/>
      <c r="C28" s="6"/>
      <c r="D28" s="6"/>
      <c r="E28" s="6"/>
      <c r="F28" s="6"/>
      <c r="G28" s="6"/>
      <c r="H28" s="6"/>
      <c r="I28" s="6"/>
    </row>
    <row r="29" spans="1:9" ht="27.95" customHeight="1" x14ac:dyDescent="0.3">
      <c r="A29" s="6"/>
      <c r="B29" s="161" t="s">
        <v>175</v>
      </c>
      <c r="C29" s="151"/>
      <c r="D29" s="151"/>
      <c r="E29" s="151"/>
      <c r="F29" s="151"/>
      <c r="G29" s="151"/>
      <c r="H29" s="151"/>
      <c r="I29" s="6"/>
    </row>
    <row r="30" spans="1:9" ht="21.95" customHeight="1" x14ac:dyDescent="0.25">
      <c r="A30" s="6"/>
      <c r="B30" s="12" t="s">
        <v>176</v>
      </c>
      <c r="C30" s="395">
        <v>0.85</v>
      </c>
      <c r="D30" s="13" t="s">
        <v>177</v>
      </c>
      <c r="E30" s="6"/>
      <c r="F30" s="6"/>
      <c r="G30" s="6"/>
      <c r="H30" s="6"/>
      <c r="I30" s="6"/>
    </row>
    <row r="31" spans="1:9" ht="21.95" customHeight="1" x14ac:dyDescent="0.25">
      <c r="A31" s="6"/>
      <c r="B31" s="15" t="s">
        <v>178</v>
      </c>
      <c r="C31" s="385">
        <v>0.9</v>
      </c>
      <c r="D31" s="16" t="s">
        <v>179</v>
      </c>
      <c r="E31" s="6"/>
      <c r="F31" s="6"/>
      <c r="G31" s="6"/>
      <c r="H31" s="6"/>
      <c r="I31" s="6"/>
    </row>
    <row r="32" spans="1:9" ht="21.95" customHeight="1" x14ac:dyDescent="0.25">
      <c r="A32" s="6"/>
      <c r="B32" s="12" t="s">
        <v>180</v>
      </c>
      <c r="C32" s="74">
        <f>ROUND((D27+F27)*C30*C31,1)</f>
        <v>132.30000000000001</v>
      </c>
      <c r="D32" s="13" t="s">
        <v>54</v>
      </c>
      <c r="E32" s="6"/>
      <c r="F32" s="6"/>
      <c r="G32" s="6"/>
      <c r="H32" s="6"/>
      <c r="I32" s="6"/>
    </row>
    <row r="33" spans="1:9" ht="21.95" customHeight="1" x14ac:dyDescent="0.25">
      <c r="A33" s="6"/>
      <c r="B33" s="15" t="s">
        <v>181</v>
      </c>
      <c r="C33" s="385">
        <v>3</v>
      </c>
      <c r="D33" s="16" t="s">
        <v>637</v>
      </c>
      <c r="E33" s="6"/>
      <c r="F33" s="6"/>
      <c r="G33" s="6"/>
      <c r="H33" s="6"/>
      <c r="I33" s="6"/>
    </row>
    <row r="34" spans="1:9" ht="21.95" customHeight="1" x14ac:dyDescent="0.25">
      <c r="A34" s="6"/>
      <c r="B34" s="75" t="s">
        <v>182</v>
      </c>
      <c r="C34" s="46">
        <f>ROUND(C32*C33,1)</f>
        <v>396.9</v>
      </c>
      <c r="D34" s="76" t="s">
        <v>54</v>
      </c>
      <c r="E34" s="6"/>
      <c r="F34" s="6"/>
      <c r="G34" s="6"/>
      <c r="H34" s="6"/>
      <c r="I34" s="6"/>
    </row>
    <row r="35" spans="1:9" x14ac:dyDescent="0.25">
      <c r="A35" s="6"/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6"/>
      <c r="I36" s="6"/>
    </row>
    <row r="37" spans="1:9" x14ac:dyDescent="0.25">
      <c r="A37" s="6"/>
      <c r="B37" s="203" t="s">
        <v>638</v>
      </c>
      <c r="C37" s="203"/>
      <c r="D37" s="203"/>
      <c r="E37" s="203"/>
      <c r="F37" s="203"/>
      <c r="G37" s="203"/>
      <c r="H37" s="203"/>
      <c r="I37" s="6"/>
    </row>
    <row r="38" spans="1:9" x14ac:dyDescent="0.25">
      <c r="A38" s="6"/>
      <c r="B38" s="268" t="s">
        <v>639</v>
      </c>
      <c r="C38" s="268"/>
      <c r="D38" s="268"/>
      <c r="E38" s="268"/>
      <c r="F38" s="268"/>
      <c r="G38" s="268"/>
      <c r="H38" s="268"/>
      <c r="I38" s="6"/>
    </row>
    <row r="39" spans="1:9" x14ac:dyDescent="0.25">
      <c r="A39" s="6"/>
      <c r="I39" s="6"/>
    </row>
    <row r="40" spans="1:9" x14ac:dyDescent="0.25">
      <c r="A40" s="6"/>
      <c r="B40" s="270" t="s">
        <v>640</v>
      </c>
      <c r="C40" s="270"/>
      <c r="D40" s="270"/>
      <c r="E40" s="270"/>
      <c r="F40" s="270"/>
      <c r="I40" s="6"/>
    </row>
    <row r="41" spans="1:9" x14ac:dyDescent="0.25">
      <c r="A41" s="1"/>
      <c r="B41" s="491" t="s">
        <v>641</v>
      </c>
      <c r="C41" s="491" t="s">
        <v>642</v>
      </c>
      <c r="D41" s="491" t="s">
        <v>643</v>
      </c>
      <c r="E41" s="491" t="s">
        <v>644</v>
      </c>
      <c r="F41" s="491" t="s">
        <v>645</v>
      </c>
      <c r="I41" s="1"/>
    </row>
    <row r="42" spans="1:9" x14ac:dyDescent="0.25">
      <c r="A42" s="1"/>
      <c r="B42" s="206" t="s">
        <v>646</v>
      </c>
      <c r="C42" s="206" t="s">
        <v>647</v>
      </c>
      <c r="D42" s="206" t="s">
        <v>648</v>
      </c>
      <c r="E42" s="206" t="s">
        <v>649</v>
      </c>
      <c r="F42" s="206" t="s">
        <v>650</v>
      </c>
      <c r="I42" s="1"/>
    </row>
    <row r="43" spans="1:9" x14ac:dyDescent="0.25">
      <c r="A43" s="1"/>
      <c r="B43" s="249" t="s">
        <v>651</v>
      </c>
      <c r="C43" s="249" t="s">
        <v>652</v>
      </c>
      <c r="D43" s="249" t="s">
        <v>653</v>
      </c>
      <c r="E43" s="249" t="s">
        <v>654</v>
      </c>
      <c r="F43" s="249" t="s">
        <v>655</v>
      </c>
      <c r="I43" s="1"/>
    </row>
    <row r="44" spans="1:9" x14ac:dyDescent="0.25">
      <c r="A44" s="1"/>
      <c r="B44" s="206" t="s">
        <v>656</v>
      </c>
      <c r="C44" s="206" t="s">
        <v>657</v>
      </c>
      <c r="D44" s="206" t="s">
        <v>658</v>
      </c>
      <c r="E44" s="206" t="s">
        <v>659</v>
      </c>
      <c r="F44" s="206" t="s">
        <v>660</v>
      </c>
      <c r="I44" s="1"/>
    </row>
    <row r="45" spans="1:9" x14ac:dyDescent="0.25">
      <c r="A45" s="1"/>
      <c r="B45" t="s">
        <v>661</v>
      </c>
      <c r="C45" t="s">
        <v>662</v>
      </c>
      <c r="D45" t="s">
        <v>663</v>
      </c>
      <c r="E45" t="s">
        <v>664</v>
      </c>
      <c r="F45" t="s">
        <v>665</v>
      </c>
      <c r="I45" s="1"/>
    </row>
    <row r="46" spans="1:9" x14ac:dyDescent="0.25">
      <c r="A46" s="1"/>
      <c r="I46" s="1"/>
    </row>
    <row r="47" spans="1:9" x14ac:dyDescent="0.25">
      <c r="A47" s="1"/>
      <c r="B47" s="399" t="s">
        <v>666</v>
      </c>
      <c r="C47" s="399"/>
      <c r="D47" s="399"/>
      <c r="E47" s="399"/>
      <c r="F47" s="399"/>
      <c r="I47" s="1"/>
    </row>
    <row r="48" spans="1:9" x14ac:dyDescent="0.25">
      <c r="A48" s="1"/>
      <c r="B48" s="202" t="s">
        <v>667</v>
      </c>
      <c r="C48" s="202"/>
      <c r="D48" s="202"/>
      <c r="E48" s="202"/>
      <c r="F48" s="202"/>
      <c r="I48" s="1"/>
    </row>
    <row r="49" spans="1:9" x14ac:dyDescent="0.25">
      <c r="A49" s="1"/>
      <c r="B49" s="492" t="s">
        <v>668</v>
      </c>
      <c r="C49" s="492"/>
      <c r="D49" s="492"/>
      <c r="E49" s="492"/>
      <c r="F49" s="492"/>
      <c r="I49" s="1"/>
    </row>
    <row r="50" spans="1:9" x14ac:dyDescent="0.25">
      <c r="A50" s="1"/>
      <c r="I50" s="1"/>
    </row>
    <row r="51" spans="1:9" x14ac:dyDescent="0.25">
      <c r="A51" s="1"/>
      <c r="B51" s="493" t="s">
        <v>620</v>
      </c>
      <c r="C51" s="493"/>
      <c r="D51" s="493"/>
      <c r="E51" s="493"/>
      <c r="F51" s="493"/>
      <c r="I51" s="1"/>
    </row>
    <row r="52" spans="1:9" x14ac:dyDescent="0.25">
      <c r="A52" s="1"/>
      <c r="B52" s="202" t="s">
        <v>669</v>
      </c>
      <c r="C52" s="202"/>
      <c r="D52" s="202"/>
      <c r="E52" s="202"/>
      <c r="F52" s="202"/>
      <c r="I52" s="1"/>
    </row>
    <row r="53" spans="1:9" x14ac:dyDescent="0.25">
      <c r="A53" s="1"/>
      <c r="B53" s="202" t="s">
        <v>670</v>
      </c>
      <c r="C53" s="202"/>
      <c r="D53" s="202"/>
      <c r="E53" s="202"/>
      <c r="F53" s="202"/>
      <c r="I53" s="1"/>
    </row>
    <row r="54" spans="1:9" x14ac:dyDescent="0.25">
      <c r="A54" s="1"/>
      <c r="I54" s="1"/>
    </row>
    <row r="55" spans="1:9" x14ac:dyDescent="0.25">
      <c r="A55" s="1"/>
      <c r="B55" s="270" t="s">
        <v>671</v>
      </c>
      <c r="C55" s="270"/>
      <c r="D55" s="270"/>
      <c r="E55" s="270"/>
      <c r="F55" s="270"/>
      <c r="I55" s="1"/>
    </row>
    <row r="56" spans="1:9" x14ac:dyDescent="0.25">
      <c r="A56" s="1"/>
      <c r="B56" s="202" t="s">
        <v>672</v>
      </c>
      <c r="C56" s="202"/>
      <c r="D56" s="202"/>
      <c r="E56" s="202"/>
      <c r="F56" s="202"/>
      <c r="I56" s="1"/>
    </row>
    <row r="57" spans="1:9" x14ac:dyDescent="0.25">
      <c r="A57" s="1"/>
      <c r="B57" s="492" t="s">
        <v>673</v>
      </c>
      <c r="C57" s="492"/>
      <c r="D57" s="492"/>
      <c r="E57" s="492"/>
      <c r="F57" s="492"/>
      <c r="I57" s="1"/>
    </row>
    <row r="58" spans="1:9" x14ac:dyDescent="0.25">
      <c r="A58" s="1"/>
      <c r="I58" s="1"/>
    </row>
    <row r="59" spans="1:9" x14ac:dyDescent="0.25">
      <c r="A59" s="1"/>
      <c r="I59" s="1"/>
    </row>
    <row r="60" spans="1:9" x14ac:dyDescent="0.25">
      <c r="A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</sheetData>
  <mergeCells count="17">
    <mergeCell ref="B56:F56"/>
    <mergeCell ref="B57:F57"/>
    <mergeCell ref="B49:F49"/>
    <mergeCell ref="B51:F51"/>
    <mergeCell ref="B52:F52"/>
    <mergeCell ref="B53:F53"/>
    <mergeCell ref="B55:F55"/>
    <mergeCell ref="B37:H37"/>
    <mergeCell ref="B38:H38"/>
    <mergeCell ref="B40:F40"/>
    <mergeCell ref="B47:F47"/>
    <mergeCell ref="B48:F48"/>
    <mergeCell ref="B2:H2"/>
    <mergeCell ref="B29:H29"/>
    <mergeCell ref="B11:H11"/>
    <mergeCell ref="B3:H3"/>
    <mergeCell ref="B5:H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0"/>
  <sheetViews>
    <sheetView showGridLine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.85546875" customWidth="1"/>
    <col min="2" max="2" width="41.85546875" customWidth="1"/>
    <col min="3" max="3" width="22.85546875" customWidth="1"/>
    <col min="4" max="4" width="34.28515625" customWidth="1"/>
    <col min="5" max="7" width="15.28515625" customWidth="1"/>
    <col min="8" max="8" width="2.85546875" customWidth="1"/>
  </cols>
  <sheetData>
    <row r="1" spans="1:8" x14ac:dyDescent="0.25">
      <c r="A1" s="124"/>
      <c r="B1" s="6"/>
      <c r="C1" s="6"/>
      <c r="D1" s="6"/>
      <c r="E1" s="6"/>
      <c r="F1" s="6"/>
      <c r="G1" s="6"/>
      <c r="H1" s="6"/>
    </row>
    <row r="2" spans="1:8" ht="35.1" customHeight="1" x14ac:dyDescent="0.25">
      <c r="A2" s="6"/>
      <c r="B2" s="163" t="s">
        <v>183</v>
      </c>
      <c r="C2" s="142"/>
      <c r="D2" s="142"/>
      <c r="E2" s="142"/>
      <c r="F2" s="142"/>
      <c r="G2" s="142"/>
      <c r="H2" s="6"/>
    </row>
    <row r="3" spans="1:8" ht="24.95" customHeight="1" thickBot="1" x14ac:dyDescent="0.3">
      <c r="A3" s="6"/>
      <c r="B3" s="149" t="s">
        <v>184</v>
      </c>
      <c r="C3" s="150"/>
      <c r="D3" s="150"/>
      <c r="E3" s="150"/>
      <c r="F3" s="150"/>
      <c r="G3" s="150"/>
      <c r="H3" s="6"/>
    </row>
    <row r="4" spans="1:8" ht="8.1" customHeight="1" thickTop="1" x14ac:dyDescent="0.25">
      <c r="A4" s="6"/>
      <c r="B4" s="10"/>
      <c r="C4" s="10"/>
      <c r="D4" s="10"/>
      <c r="E4" s="10"/>
      <c r="F4" s="10">
        <f>C15</f>
        <v>74</v>
      </c>
      <c r="G4" s="10"/>
      <c r="H4" s="6"/>
    </row>
    <row r="5" spans="1:8" ht="27.95" customHeight="1" x14ac:dyDescent="0.3">
      <c r="A5" s="6"/>
      <c r="B5" s="164" t="s">
        <v>185</v>
      </c>
      <c r="C5" s="151"/>
      <c r="D5" s="151"/>
      <c r="E5" s="151"/>
      <c r="F5" s="151"/>
      <c r="G5" s="151"/>
      <c r="H5" s="6"/>
    </row>
    <row r="6" spans="1:8" ht="21.95" customHeight="1" x14ac:dyDescent="0.25">
      <c r="A6" s="6"/>
      <c r="B6" s="17" t="s">
        <v>186</v>
      </c>
      <c r="C6" s="346">
        <f>COUNTA('🃏 Story Points'!C28:C48)</f>
        <v>21</v>
      </c>
      <c r="D6" s="18" t="s">
        <v>187</v>
      </c>
      <c r="E6" s="6"/>
      <c r="F6" s="6"/>
      <c r="G6" s="6"/>
      <c r="H6" s="6"/>
    </row>
    <row r="7" spans="1:8" ht="21.95" customHeight="1" x14ac:dyDescent="0.25">
      <c r="A7" s="6"/>
      <c r="B7" s="19" t="s">
        <v>188</v>
      </c>
      <c r="C7" s="347">
        <v>3.5</v>
      </c>
      <c r="D7" s="20" t="s">
        <v>189</v>
      </c>
      <c r="E7" s="6"/>
      <c r="F7" s="6"/>
      <c r="G7" s="6"/>
      <c r="H7" s="6"/>
    </row>
    <row r="8" spans="1:8" ht="21.95" customHeight="1" x14ac:dyDescent="0.25">
      <c r="A8" s="6"/>
      <c r="B8" s="21" t="s">
        <v>190</v>
      </c>
      <c r="C8" s="348">
        <v>1</v>
      </c>
      <c r="D8" s="22" t="s">
        <v>191</v>
      </c>
      <c r="E8" s="6"/>
      <c r="F8" s="6"/>
      <c r="G8" s="6"/>
      <c r="H8" s="6"/>
    </row>
    <row r="9" spans="1:8" ht="21.95" customHeight="1" x14ac:dyDescent="0.25">
      <c r="A9" s="6"/>
      <c r="B9" s="19" t="s">
        <v>192</v>
      </c>
      <c r="C9" s="347">
        <v>1</v>
      </c>
      <c r="D9" s="20" t="s">
        <v>191</v>
      </c>
      <c r="E9" s="6"/>
      <c r="F9" s="6"/>
      <c r="G9" s="6"/>
      <c r="H9" s="6"/>
    </row>
    <row r="10" spans="1:8" ht="21.95" customHeight="1" x14ac:dyDescent="0.25">
      <c r="A10" s="6"/>
      <c r="B10" s="21" t="s">
        <v>193</v>
      </c>
      <c r="C10" s="348">
        <v>0.5</v>
      </c>
      <c r="D10" s="22" t="s">
        <v>194</v>
      </c>
      <c r="E10" s="6"/>
      <c r="F10" s="6"/>
      <c r="G10" s="6"/>
      <c r="H10" s="6"/>
    </row>
    <row r="11" spans="1:8" ht="21.95" customHeight="1" x14ac:dyDescent="0.25">
      <c r="A11" s="6"/>
      <c r="B11" s="19" t="s">
        <v>195</v>
      </c>
      <c r="C11" s="347">
        <v>3</v>
      </c>
      <c r="D11" s="20" t="s">
        <v>196</v>
      </c>
      <c r="E11" s="6"/>
      <c r="F11" s="6"/>
      <c r="G11" s="6"/>
      <c r="H11" s="6"/>
    </row>
    <row r="12" spans="1:8" ht="21.95" customHeight="1" x14ac:dyDescent="0.25">
      <c r="A12" s="6"/>
      <c r="B12" s="78" t="s">
        <v>197</v>
      </c>
      <c r="C12" s="386">
        <v>0.5</v>
      </c>
      <c r="D12" s="79" t="s">
        <v>198</v>
      </c>
      <c r="E12" s="6"/>
      <c r="F12" s="6"/>
      <c r="G12" s="6"/>
      <c r="H12" s="6"/>
    </row>
    <row r="13" spans="1:8" x14ac:dyDescent="0.25">
      <c r="A13" s="6"/>
      <c r="B13" s="6"/>
      <c r="C13" s="6"/>
      <c r="D13" s="6"/>
      <c r="E13" s="6"/>
      <c r="F13" s="6"/>
      <c r="G13" s="6"/>
      <c r="H13" s="6"/>
    </row>
    <row r="14" spans="1:8" ht="27.95" customHeight="1" thickBot="1" x14ac:dyDescent="0.35">
      <c r="A14" s="6"/>
      <c r="B14" s="164" t="s">
        <v>199</v>
      </c>
      <c r="C14" s="151"/>
      <c r="D14" s="151"/>
      <c r="E14" s="151"/>
      <c r="F14" s="151"/>
      <c r="G14" s="151"/>
      <c r="H14" s="6"/>
    </row>
    <row r="15" spans="1:8" ht="21.95" customHeight="1" x14ac:dyDescent="0.25">
      <c r="A15" s="6"/>
      <c r="B15" s="80" t="s">
        <v>200</v>
      </c>
      <c r="C15" s="387">
        <f>ROUND(C6*C7,0)</f>
        <v>74</v>
      </c>
      <c r="D15" s="77"/>
      <c r="E15" s="6"/>
      <c r="F15" s="6"/>
      <c r="G15" s="6"/>
      <c r="H15" s="6"/>
    </row>
    <row r="16" spans="1:8" ht="21.95" customHeight="1" x14ac:dyDescent="0.25">
      <c r="A16" s="6"/>
      <c r="B16" s="48" t="s">
        <v>201</v>
      </c>
      <c r="C16" s="388">
        <f>ROUND(C15*C8,1)</f>
        <v>74</v>
      </c>
      <c r="D16" s="77"/>
      <c r="E16" s="6"/>
      <c r="F16" s="6"/>
      <c r="G16" s="6"/>
      <c r="H16" s="6"/>
    </row>
    <row r="17" spans="1:8" ht="21.95" customHeight="1" x14ac:dyDescent="0.25">
      <c r="A17" s="6"/>
      <c r="B17" s="47" t="s">
        <v>202</v>
      </c>
      <c r="C17" s="389">
        <f>ROUND(C15*C9,1)</f>
        <v>74</v>
      </c>
      <c r="D17" s="77"/>
      <c r="E17" s="6"/>
      <c r="F17" s="6"/>
      <c r="G17" s="6"/>
      <c r="H17" s="6"/>
    </row>
    <row r="18" spans="1:8" ht="21.95" customHeight="1" x14ac:dyDescent="0.25">
      <c r="A18" s="6"/>
      <c r="B18" s="48" t="s">
        <v>203</v>
      </c>
      <c r="C18" s="388">
        <f>ROUND(C15*C10*C11,1)</f>
        <v>111</v>
      </c>
      <c r="D18" s="77"/>
      <c r="E18" s="6"/>
      <c r="F18" s="6"/>
      <c r="G18" s="6"/>
      <c r="H18" s="6"/>
    </row>
    <row r="19" spans="1:8" ht="21.95" customHeight="1" x14ac:dyDescent="0.25">
      <c r="A19" s="6"/>
      <c r="B19" s="47" t="s">
        <v>204</v>
      </c>
      <c r="C19" s="389">
        <f>ROUND(C16+C17+C18,1)</f>
        <v>259</v>
      </c>
      <c r="D19" s="77"/>
      <c r="E19" s="6"/>
      <c r="F19" s="6"/>
      <c r="G19" s="6"/>
      <c r="H19" s="6"/>
    </row>
    <row r="20" spans="1:8" ht="21.95" customHeight="1" x14ac:dyDescent="0.25">
      <c r="A20" s="6"/>
      <c r="B20" s="48" t="s">
        <v>205</v>
      </c>
      <c r="C20" s="388">
        <f>ROUND(C19*C12,1)</f>
        <v>129.5</v>
      </c>
      <c r="D20" s="77"/>
      <c r="E20" s="6"/>
      <c r="F20" s="6"/>
      <c r="G20" s="6"/>
      <c r="H20" s="6"/>
    </row>
    <row r="21" spans="1:8" ht="27.95" customHeight="1" thickBot="1" x14ac:dyDescent="0.3">
      <c r="A21" s="6"/>
      <c r="B21" s="81" t="s">
        <v>206</v>
      </c>
      <c r="C21" s="390">
        <f>ROUND(C19+C20,1)</f>
        <v>388.5</v>
      </c>
      <c r="D21" s="43"/>
      <c r="E21" s="6"/>
      <c r="F21" s="6"/>
      <c r="G21" s="6"/>
      <c r="H21" s="6"/>
    </row>
    <row r="22" spans="1:8" x14ac:dyDescent="0.25">
      <c r="A22" s="6"/>
      <c r="B22" s="6"/>
      <c r="C22" s="6"/>
      <c r="D22" s="6"/>
      <c r="E22" s="6"/>
      <c r="F22" s="6"/>
      <c r="G22" s="6"/>
      <c r="H22" s="6"/>
    </row>
    <row r="23" spans="1:8" x14ac:dyDescent="0.25">
      <c r="A23" s="6"/>
      <c r="B23" s="6"/>
      <c r="C23" s="6"/>
      <c r="D23" s="6"/>
      <c r="E23" s="6"/>
      <c r="F23" s="6"/>
      <c r="G23" s="6"/>
      <c r="H23" s="6"/>
    </row>
    <row r="24" spans="1:8" x14ac:dyDescent="0.25">
      <c r="A24" s="6"/>
      <c r="B24" s="6"/>
      <c r="C24" s="6"/>
      <c r="D24" s="6"/>
      <c r="E24" s="6"/>
      <c r="F24" s="6"/>
      <c r="G24" s="6"/>
      <c r="H24" s="6"/>
    </row>
    <row r="25" spans="1:8" x14ac:dyDescent="0.25">
      <c r="A25" s="6"/>
      <c r="B25" s="6"/>
      <c r="C25" s="6"/>
      <c r="D25" s="6"/>
      <c r="E25" s="6"/>
      <c r="F25" s="6"/>
      <c r="G25" s="6"/>
      <c r="H25" s="6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/>
      <c r="B46" s="1"/>
      <c r="C46" s="1"/>
      <c r="D46" s="1"/>
      <c r="E46" s="1"/>
      <c r="F46" s="1"/>
      <c r="G46" s="1"/>
      <c r="H46" s="1"/>
    </row>
    <row r="47" spans="1:8" x14ac:dyDescent="0.25">
      <c r="A47" s="1"/>
      <c r="B47" s="1"/>
      <c r="C47" s="1"/>
      <c r="D47" s="1"/>
      <c r="E47" s="1"/>
      <c r="F47" s="1"/>
      <c r="G47" s="1"/>
      <c r="H47" s="1"/>
    </row>
    <row r="48" spans="1:8" x14ac:dyDescent="0.25">
      <c r="A48" s="1"/>
      <c r="B48" s="1"/>
      <c r="C48" s="1"/>
      <c r="D48" s="1"/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  <row r="62" spans="1:8" x14ac:dyDescent="0.25">
      <c r="A62" s="1"/>
      <c r="B62" s="1"/>
      <c r="C62" s="1"/>
      <c r="D62" s="1"/>
      <c r="E62" s="1"/>
      <c r="F62" s="1"/>
      <c r="G62" s="1"/>
      <c r="H62" s="1"/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1"/>
      <c r="B64" s="1"/>
      <c r="C64" s="1"/>
      <c r="D64" s="1"/>
      <c r="E64" s="1"/>
      <c r="F64" s="1"/>
      <c r="G64" s="1"/>
      <c r="H64" s="1"/>
    </row>
    <row r="65" spans="1:8" x14ac:dyDescent="0.25">
      <c r="A65" s="1"/>
      <c r="B65" s="1"/>
      <c r="C65" s="1"/>
      <c r="D65" s="1"/>
      <c r="E65" s="1"/>
      <c r="F65" s="1"/>
      <c r="G65" s="1"/>
      <c r="H65" s="1"/>
    </row>
    <row r="66" spans="1:8" x14ac:dyDescent="0.25">
      <c r="A66" s="1"/>
      <c r="B66" s="1"/>
      <c r="C66" s="1"/>
      <c r="D66" s="1"/>
      <c r="E66" s="1"/>
      <c r="F66" s="1"/>
      <c r="G66" s="1"/>
      <c r="H66" s="1"/>
    </row>
    <row r="67" spans="1:8" x14ac:dyDescent="0.25">
      <c r="A67" s="1"/>
      <c r="B67" s="1"/>
      <c r="C67" s="1"/>
      <c r="D67" s="1"/>
      <c r="E67" s="1"/>
      <c r="F67" s="1"/>
      <c r="G67" s="1"/>
      <c r="H67" s="1"/>
    </row>
    <row r="68" spans="1:8" x14ac:dyDescent="0.25">
      <c r="A68" s="1"/>
      <c r="B68" s="1"/>
      <c r="C68" s="1"/>
      <c r="D68" s="1"/>
      <c r="E68" s="1"/>
      <c r="F68" s="1"/>
      <c r="G68" s="1"/>
      <c r="H68" s="1"/>
    </row>
    <row r="69" spans="1:8" x14ac:dyDescent="0.25">
      <c r="A69" s="1"/>
      <c r="B69" s="1"/>
      <c r="C69" s="1"/>
      <c r="D69" s="1"/>
      <c r="E69" s="1"/>
      <c r="F69" s="1"/>
      <c r="G69" s="1"/>
      <c r="H69" s="1"/>
    </row>
    <row r="70" spans="1:8" x14ac:dyDescent="0.25">
      <c r="A70" s="1"/>
      <c r="B70" s="1"/>
      <c r="C70" s="1"/>
      <c r="D70" s="1"/>
      <c r="E70" s="1"/>
      <c r="F70" s="1"/>
      <c r="G70" s="1"/>
      <c r="H70" s="1"/>
    </row>
    <row r="71" spans="1:8" x14ac:dyDescent="0.25">
      <c r="A71" s="1"/>
      <c r="B71" s="1"/>
      <c r="C71" s="1"/>
      <c r="D71" s="1"/>
      <c r="E71" s="1"/>
      <c r="F71" s="1"/>
      <c r="G71" s="1"/>
      <c r="H71" s="1"/>
    </row>
    <row r="72" spans="1:8" x14ac:dyDescent="0.25">
      <c r="A72" s="1"/>
      <c r="B72" s="1"/>
      <c r="C72" s="1"/>
      <c r="D72" s="1"/>
      <c r="E72" s="1"/>
      <c r="F72" s="1"/>
      <c r="G72" s="1"/>
      <c r="H72" s="1"/>
    </row>
    <row r="73" spans="1:8" x14ac:dyDescent="0.25">
      <c r="A73" s="1"/>
      <c r="B73" s="1"/>
      <c r="C73" s="1"/>
      <c r="D73" s="1"/>
      <c r="E73" s="1"/>
      <c r="F73" s="1"/>
      <c r="G73" s="1"/>
      <c r="H73" s="1"/>
    </row>
    <row r="74" spans="1:8" x14ac:dyDescent="0.25">
      <c r="A74" s="1"/>
      <c r="B74" s="1"/>
      <c r="C74" s="1"/>
      <c r="D74" s="1"/>
      <c r="E74" s="1"/>
      <c r="F74" s="1"/>
      <c r="G74" s="1"/>
      <c r="H74" s="1"/>
    </row>
    <row r="75" spans="1:8" x14ac:dyDescent="0.25">
      <c r="A75" s="1"/>
      <c r="B75" s="1"/>
      <c r="C75" s="1"/>
      <c r="D75" s="1"/>
      <c r="E75" s="1"/>
      <c r="F75" s="1"/>
      <c r="G75" s="1"/>
      <c r="H75" s="1"/>
    </row>
    <row r="76" spans="1:8" x14ac:dyDescent="0.25">
      <c r="A76" s="1"/>
      <c r="B76" s="1"/>
      <c r="C76" s="1"/>
      <c r="D76" s="1"/>
      <c r="E76" s="1"/>
      <c r="F76" s="1"/>
      <c r="G76" s="1"/>
      <c r="H76" s="1"/>
    </row>
    <row r="77" spans="1:8" x14ac:dyDescent="0.25">
      <c r="A77" s="1"/>
      <c r="B77" s="1"/>
      <c r="C77" s="1"/>
      <c r="D77" s="1"/>
      <c r="E77" s="1"/>
      <c r="F77" s="1"/>
      <c r="G77" s="1"/>
      <c r="H77" s="1"/>
    </row>
    <row r="78" spans="1:8" x14ac:dyDescent="0.25">
      <c r="A78" s="1"/>
      <c r="B78" s="1"/>
      <c r="C78" s="1"/>
      <c r="D78" s="1"/>
      <c r="E78" s="1"/>
      <c r="F78" s="1"/>
      <c r="G78" s="1"/>
      <c r="H78" s="1"/>
    </row>
    <row r="79" spans="1:8" x14ac:dyDescent="0.25">
      <c r="A79" s="1"/>
      <c r="B79" s="1"/>
      <c r="C79" s="1"/>
      <c r="D79" s="1"/>
      <c r="E79" s="1"/>
      <c r="F79" s="1"/>
      <c r="G79" s="1"/>
      <c r="H79" s="1"/>
    </row>
    <row r="80" spans="1:8" x14ac:dyDescent="0.25">
      <c r="A80" s="1"/>
      <c r="B80" s="1"/>
      <c r="C80" s="1"/>
      <c r="D80" s="1"/>
      <c r="E80" s="1"/>
      <c r="F80" s="1"/>
      <c r="G80" s="1"/>
      <c r="H80" s="1"/>
    </row>
  </sheetData>
  <mergeCells count="4">
    <mergeCell ref="B3:G3"/>
    <mergeCell ref="B2:G2"/>
    <mergeCell ref="B14:G14"/>
    <mergeCell ref="B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0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2.85546875" customWidth="1"/>
    <col min="2" max="2" width="30.42578125" customWidth="1"/>
    <col min="3" max="3" width="24.7109375" customWidth="1"/>
    <col min="4" max="7" width="17.140625" customWidth="1"/>
    <col min="8" max="9" width="19" customWidth="1"/>
    <col min="10" max="10" width="21" customWidth="1"/>
    <col min="11" max="11" width="2.85546875" customWidth="1"/>
    <col min="12" max="12" width="14" customWidth="1"/>
    <col min="13" max="13" width="1.85546875" bestFit="1" customWidth="1"/>
    <col min="14" max="14" width="2" customWidth="1"/>
  </cols>
  <sheetData>
    <row r="1" spans="1:14" x14ac:dyDescent="0.25">
      <c r="A1" s="124"/>
      <c r="B1" s="6"/>
      <c r="C1" s="6"/>
      <c r="D1" s="6"/>
      <c r="E1" s="6"/>
      <c r="F1" s="6"/>
      <c r="G1" s="6"/>
      <c r="H1" s="6"/>
      <c r="I1" s="6"/>
      <c r="J1" s="6"/>
      <c r="K1" s="6"/>
      <c r="L1" s="1"/>
      <c r="M1" s="1"/>
      <c r="N1" s="1"/>
    </row>
    <row r="2" spans="1:14" ht="35.1" customHeight="1" x14ac:dyDescent="0.25">
      <c r="A2" s="6"/>
      <c r="B2" s="163" t="s">
        <v>207</v>
      </c>
      <c r="C2" s="142"/>
      <c r="D2" s="142"/>
      <c r="E2" s="142"/>
      <c r="F2" s="142"/>
      <c r="G2" s="142"/>
      <c r="H2" s="142"/>
      <c r="I2" s="142"/>
      <c r="J2" s="142"/>
      <c r="K2" s="142"/>
      <c r="L2" s="171"/>
      <c r="M2" s="171"/>
      <c r="N2" s="1"/>
    </row>
    <row r="3" spans="1:14" ht="24.95" customHeight="1" thickBot="1" x14ac:dyDescent="0.3">
      <c r="A3" s="6"/>
      <c r="B3" s="149" t="s">
        <v>208</v>
      </c>
      <c r="C3" s="150"/>
      <c r="D3" s="150"/>
      <c r="E3" s="150"/>
      <c r="F3" s="150"/>
      <c r="G3" s="150"/>
      <c r="H3" s="150"/>
      <c r="I3" s="150"/>
      <c r="J3" s="150"/>
      <c r="K3" s="150"/>
      <c r="L3" s="174"/>
      <c r="M3" s="174"/>
      <c r="N3" s="1"/>
    </row>
    <row r="4" spans="1:14" ht="8.1" customHeight="1" thickTop="1" x14ac:dyDescent="0.25">
      <c r="A4" s="6"/>
      <c r="B4" s="10"/>
      <c r="C4" s="10"/>
      <c r="D4" s="10"/>
      <c r="E4" s="10"/>
      <c r="F4" s="10"/>
      <c r="G4" s="10"/>
      <c r="H4" s="10"/>
      <c r="I4" s="10"/>
      <c r="J4" s="10"/>
      <c r="K4" s="10"/>
      <c r="L4" s="83"/>
      <c r="M4" s="83"/>
      <c r="N4" s="1"/>
    </row>
    <row r="5" spans="1:14" ht="27.95" customHeight="1" thickBot="1" x14ac:dyDescent="0.35">
      <c r="A5" s="6"/>
      <c r="B5" s="164" t="s">
        <v>209</v>
      </c>
      <c r="C5" s="151"/>
      <c r="D5" s="151"/>
      <c r="E5" s="151"/>
      <c r="F5" s="151"/>
      <c r="G5" s="151"/>
      <c r="H5" s="151"/>
      <c r="I5" s="151"/>
      <c r="J5" s="151"/>
      <c r="K5" s="151"/>
      <c r="L5" s="175"/>
      <c r="M5" s="175"/>
      <c r="N5" s="1"/>
    </row>
    <row r="6" spans="1:14" ht="27.95" customHeight="1" x14ac:dyDescent="0.25">
      <c r="A6" s="6"/>
      <c r="B6" s="37" t="s">
        <v>210</v>
      </c>
      <c r="C6" s="38" t="s">
        <v>57</v>
      </c>
      <c r="D6" s="38" t="s">
        <v>211</v>
      </c>
      <c r="E6" s="38" t="s">
        <v>212</v>
      </c>
      <c r="F6" s="38" t="s">
        <v>213</v>
      </c>
      <c r="G6" s="38" t="s">
        <v>214</v>
      </c>
      <c r="H6" s="38" t="s">
        <v>215</v>
      </c>
      <c r="I6" s="38" t="s">
        <v>216</v>
      </c>
      <c r="J6" s="39" t="s">
        <v>217</v>
      </c>
      <c r="K6" s="6"/>
      <c r="L6" s="1"/>
      <c r="M6" s="1"/>
      <c r="N6" s="1"/>
    </row>
    <row r="7" spans="1:14" ht="21.95" customHeight="1" x14ac:dyDescent="0.25">
      <c r="A7" s="6"/>
      <c r="B7" s="49" t="s">
        <v>42</v>
      </c>
      <c r="C7" s="55" t="s">
        <v>41</v>
      </c>
      <c r="D7" s="379">
        <f>'⚙️ Config'!$C$11*5*'⚙️ Config'!$C$13*'⚙️ Config'!F19</f>
        <v>80</v>
      </c>
      <c r="E7" s="379">
        <v>9</v>
      </c>
      <c r="F7" s="379">
        <f>D7*E7</f>
        <v>720</v>
      </c>
      <c r="G7" s="85">
        <v>95</v>
      </c>
      <c r="H7" s="85">
        <f>F7*G7</f>
        <v>68400</v>
      </c>
      <c r="I7" s="85">
        <f>H7*0.3</f>
        <v>20520</v>
      </c>
      <c r="J7" s="86">
        <f>H7+I7</f>
        <v>88920</v>
      </c>
      <c r="K7" s="6"/>
      <c r="L7" s="1"/>
      <c r="M7" s="1"/>
      <c r="N7" s="1"/>
    </row>
    <row r="8" spans="1:14" ht="21.95" customHeight="1" x14ac:dyDescent="0.25">
      <c r="A8" s="6"/>
      <c r="B8" s="56" t="s">
        <v>63</v>
      </c>
      <c r="C8" s="54" t="s">
        <v>64</v>
      </c>
      <c r="D8" s="381">
        <f>'⚙️ Config'!$C$11*5*'⚙️ Config'!$C$13*'⚙️ Config'!F20</f>
        <v>80</v>
      </c>
      <c r="E8" s="381">
        <v>9</v>
      </c>
      <c r="F8" s="381">
        <f>D8*E8</f>
        <v>720</v>
      </c>
      <c r="G8" s="88">
        <v>70</v>
      </c>
      <c r="H8" s="88">
        <f>F8*G8</f>
        <v>50400</v>
      </c>
      <c r="I8" s="88">
        <f>H8*0.3</f>
        <v>15120</v>
      </c>
      <c r="J8" s="89">
        <f>H8+I8</f>
        <v>65520</v>
      </c>
      <c r="K8" s="6"/>
      <c r="L8" s="1"/>
      <c r="M8" s="1"/>
      <c r="N8" s="1"/>
    </row>
    <row r="9" spans="1:14" ht="21.95" customHeight="1" x14ac:dyDescent="0.25">
      <c r="A9" s="6"/>
      <c r="B9" s="49" t="s">
        <v>62</v>
      </c>
      <c r="C9" s="55" t="s">
        <v>476</v>
      </c>
      <c r="D9" s="379">
        <f>'⚙️ Config'!$C$11*5*'⚙️ Config'!$C$13*'⚙️ Config'!F21</f>
        <v>72</v>
      </c>
      <c r="E9" s="379">
        <v>8</v>
      </c>
      <c r="F9" s="379">
        <f>D9*E9</f>
        <v>576</v>
      </c>
      <c r="G9" s="85">
        <v>90</v>
      </c>
      <c r="H9" s="85">
        <f>F9*G9</f>
        <v>51840</v>
      </c>
      <c r="I9" s="85">
        <f>H9*0.3</f>
        <v>15552</v>
      </c>
      <c r="J9" s="86">
        <f>H9+I9</f>
        <v>67392</v>
      </c>
      <c r="K9" s="6"/>
      <c r="L9" s="1"/>
      <c r="M9" s="1"/>
      <c r="N9" s="1"/>
    </row>
    <row r="10" spans="1:14" ht="21.95" customHeight="1" x14ac:dyDescent="0.25">
      <c r="A10" s="6"/>
      <c r="B10" s="56" t="s">
        <v>598</v>
      </c>
      <c r="C10" s="54" t="s">
        <v>599</v>
      </c>
      <c r="D10" s="381">
        <f>'⚙️ Config'!$C$11*5*'⚙️ Config'!$C$13*'⚙️ Config'!F22</f>
        <v>72</v>
      </c>
      <c r="E10" s="381">
        <v>8</v>
      </c>
      <c r="F10" s="381">
        <f>D10*E10</f>
        <v>576</v>
      </c>
      <c r="G10" s="88">
        <v>75</v>
      </c>
      <c r="H10" s="88">
        <f>F10*G10</f>
        <v>43200</v>
      </c>
      <c r="I10" s="88">
        <f>H10*0.3</f>
        <v>12960</v>
      </c>
      <c r="J10" s="89">
        <f>H10+I10</f>
        <v>56160</v>
      </c>
      <c r="K10" s="6"/>
      <c r="L10" s="1"/>
      <c r="M10" s="1"/>
      <c r="N10" s="1"/>
    </row>
    <row r="11" spans="1:14" ht="21.95" customHeight="1" x14ac:dyDescent="0.25">
      <c r="A11" s="6"/>
      <c r="B11" s="49" t="s">
        <v>66</v>
      </c>
      <c r="C11" s="55" t="s">
        <v>67</v>
      </c>
      <c r="D11" s="379">
        <f>'⚙️ Config'!$C$11*5*'⚙️ Config'!$C$13*'⚙️ Config'!F23</f>
        <v>48</v>
      </c>
      <c r="E11" s="379">
        <v>3</v>
      </c>
      <c r="F11" s="379">
        <f>D11*E11</f>
        <v>144</v>
      </c>
      <c r="G11" s="85">
        <v>75</v>
      </c>
      <c r="H11" s="85">
        <f>F11*G11</f>
        <v>10800</v>
      </c>
      <c r="I11" s="85">
        <f>H11*0.3</f>
        <v>3240</v>
      </c>
      <c r="J11" s="86">
        <f>H11+I11</f>
        <v>14040</v>
      </c>
      <c r="K11" s="6"/>
      <c r="L11" s="1"/>
      <c r="M11" s="1"/>
      <c r="N11" s="1"/>
    </row>
    <row r="12" spans="1:14" ht="27.95" customHeight="1" thickBot="1" x14ac:dyDescent="0.3">
      <c r="A12" s="6"/>
      <c r="B12" s="490" t="s">
        <v>68</v>
      </c>
      <c r="C12" s="55" t="s">
        <v>69</v>
      </c>
      <c r="D12" s="379">
        <f>'⚙️ Config'!$C$11*5*'⚙️ Config'!$C$13*'⚙️ Config'!F24</f>
        <v>72</v>
      </c>
      <c r="E12" s="379">
        <v>8</v>
      </c>
      <c r="F12" s="379">
        <f>D12*E12</f>
        <v>576</v>
      </c>
      <c r="G12" s="85">
        <v>50</v>
      </c>
      <c r="H12" s="85">
        <f>F12*G12</f>
        <v>28800</v>
      </c>
      <c r="I12" s="85">
        <f>H12*0.3</f>
        <v>8640</v>
      </c>
      <c r="J12" s="86">
        <f>H12+I12</f>
        <v>37440</v>
      </c>
      <c r="K12" s="6"/>
      <c r="L12" s="1"/>
      <c r="M12" s="1"/>
      <c r="N12" s="1"/>
    </row>
    <row r="13" spans="1:14" x14ac:dyDescent="0.25">
      <c r="A13" s="6"/>
      <c r="B13" s="489" t="s">
        <v>218</v>
      </c>
      <c r="C13" s="489"/>
      <c r="D13" s="489">
        <f>SUM(D7:D12)</f>
        <v>424</v>
      </c>
      <c r="E13" s="489" t="s">
        <v>600</v>
      </c>
      <c r="F13" s="489">
        <f>SUM(F7:F12)</f>
        <v>3312</v>
      </c>
      <c r="G13" s="489">
        <f>ROUND(AVERAGE(G7:G12),0)</f>
        <v>76</v>
      </c>
      <c r="H13" s="489">
        <f>SUM(H7:H12)</f>
        <v>253440</v>
      </c>
      <c r="I13" s="489">
        <f>SUM(I7:I12)</f>
        <v>76032</v>
      </c>
      <c r="J13" s="489">
        <f>SUM(J7:J12)</f>
        <v>329472</v>
      </c>
      <c r="K13" s="6"/>
      <c r="L13" s="1"/>
      <c r="M13" s="1"/>
      <c r="N13" s="1"/>
    </row>
    <row r="14" spans="1:14" ht="27.95" customHeight="1" thickBot="1" x14ac:dyDescent="0.35">
      <c r="A14" s="6"/>
      <c r="B14" s="155" t="s">
        <v>219</v>
      </c>
      <c r="C14" s="151"/>
      <c r="D14" s="151"/>
      <c r="E14" s="151"/>
      <c r="F14" s="151"/>
      <c r="G14" s="151"/>
      <c r="H14" s="151"/>
      <c r="I14" s="151"/>
      <c r="J14" s="151"/>
      <c r="K14" s="151"/>
      <c r="L14" s="175"/>
      <c r="M14" s="175"/>
      <c r="N14" s="1"/>
    </row>
    <row r="15" spans="1:14" ht="27.95" customHeight="1" x14ac:dyDescent="0.25">
      <c r="A15" s="6"/>
      <c r="B15" s="37" t="s">
        <v>220</v>
      </c>
      <c r="C15" s="38" t="s">
        <v>221</v>
      </c>
      <c r="D15" s="38" t="s">
        <v>222</v>
      </c>
      <c r="E15" s="38" t="s">
        <v>223</v>
      </c>
      <c r="F15" s="38" t="s">
        <v>224</v>
      </c>
      <c r="G15" s="39" t="s">
        <v>217</v>
      </c>
      <c r="H15" s="6"/>
      <c r="I15" s="6"/>
      <c r="J15" s="6"/>
      <c r="K15" s="6"/>
      <c r="L15" s="1"/>
      <c r="M15" s="1"/>
      <c r="N15" s="1"/>
    </row>
    <row r="16" spans="1:14" ht="21.95" customHeight="1" x14ac:dyDescent="0.25">
      <c r="A16" s="6"/>
      <c r="B16" s="40" t="s">
        <v>225</v>
      </c>
      <c r="C16" s="55" t="s">
        <v>226</v>
      </c>
      <c r="D16" s="92">
        <v>200</v>
      </c>
      <c r="E16" s="50">
        <v>3</v>
      </c>
      <c r="F16" s="50">
        <v>12</v>
      </c>
      <c r="G16" s="93">
        <f t="shared" ref="G16:G23" si="0">D16*E16*F16</f>
        <v>7200</v>
      </c>
      <c r="H16" s="6"/>
      <c r="I16" s="6"/>
      <c r="J16" s="6"/>
      <c r="K16" s="6"/>
      <c r="L16" s="1"/>
      <c r="M16" s="1"/>
      <c r="N16" s="1"/>
    </row>
    <row r="17" spans="1:14" ht="21.95" customHeight="1" x14ac:dyDescent="0.25">
      <c r="A17" s="6"/>
      <c r="B17" s="41" t="s">
        <v>227</v>
      </c>
      <c r="C17" s="54" t="s">
        <v>228</v>
      </c>
      <c r="D17" s="94">
        <v>50</v>
      </c>
      <c r="E17" s="53">
        <v>5</v>
      </c>
      <c r="F17" s="53">
        <v>6</v>
      </c>
      <c r="G17" s="95">
        <f t="shared" si="0"/>
        <v>1500</v>
      </c>
      <c r="H17" s="6"/>
      <c r="I17" s="6"/>
      <c r="J17" s="6"/>
      <c r="K17" s="6"/>
      <c r="L17" s="1"/>
      <c r="M17" s="1"/>
      <c r="N17" s="1"/>
    </row>
    <row r="18" spans="1:14" ht="21.95" customHeight="1" x14ac:dyDescent="0.25">
      <c r="A18" s="6"/>
      <c r="B18" s="40" t="s">
        <v>229</v>
      </c>
      <c r="C18" s="55" t="s">
        <v>230</v>
      </c>
      <c r="D18" s="92">
        <v>300</v>
      </c>
      <c r="E18" s="50">
        <v>1</v>
      </c>
      <c r="F18" s="50">
        <v>1</v>
      </c>
      <c r="G18" s="93">
        <f t="shared" si="0"/>
        <v>300</v>
      </c>
      <c r="H18" s="6"/>
      <c r="I18" s="6"/>
      <c r="J18" s="6"/>
      <c r="K18" s="6"/>
      <c r="L18" s="1"/>
      <c r="M18" s="1"/>
      <c r="N18" s="1"/>
    </row>
    <row r="19" spans="1:14" ht="21.95" customHeight="1" x14ac:dyDescent="0.25">
      <c r="A19" s="6"/>
      <c r="B19" s="41" t="s">
        <v>231</v>
      </c>
      <c r="C19" s="54" t="s">
        <v>232</v>
      </c>
      <c r="D19" s="94">
        <v>400</v>
      </c>
      <c r="E19" s="53">
        <v>1</v>
      </c>
      <c r="F19" s="53">
        <v>1</v>
      </c>
      <c r="G19" s="95">
        <f t="shared" si="0"/>
        <v>400</v>
      </c>
      <c r="H19" s="6"/>
      <c r="I19" s="6"/>
      <c r="J19" s="6"/>
      <c r="K19" s="6"/>
      <c r="L19" s="1"/>
      <c r="M19" s="1"/>
      <c r="N19" s="1"/>
    </row>
    <row r="20" spans="1:14" ht="21.95" customHeight="1" x14ac:dyDescent="0.25">
      <c r="A20" s="6"/>
      <c r="B20" s="40" t="s">
        <v>233</v>
      </c>
      <c r="C20" s="55" t="s">
        <v>234</v>
      </c>
      <c r="D20" s="92">
        <v>150</v>
      </c>
      <c r="E20" s="50">
        <v>1</v>
      </c>
      <c r="F20" s="50">
        <v>6</v>
      </c>
      <c r="G20" s="93">
        <f t="shared" si="0"/>
        <v>900</v>
      </c>
      <c r="H20" s="6"/>
      <c r="I20" s="6"/>
      <c r="J20" s="6"/>
      <c r="K20" s="6"/>
      <c r="L20" s="1"/>
      <c r="M20" s="1"/>
      <c r="N20" s="1"/>
    </row>
    <row r="21" spans="1:14" ht="21.95" customHeight="1" x14ac:dyDescent="0.25">
      <c r="A21" s="6"/>
      <c r="B21" s="41" t="s">
        <v>235</v>
      </c>
      <c r="C21" s="54" t="s">
        <v>236</v>
      </c>
      <c r="D21" s="94">
        <v>500</v>
      </c>
      <c r="E21" s="53">
        <v>1</v>
      </c>
      <c r="F21" s="53">
        <v>6</v>
      </c>
      <c r="G21" s="95">
        <f t="shared" si="0"/>
        <v>3000</v>
      </c>
      <c r="H21" s="6"/>
      <c r="I21" s="6"/>
      <c r="J21" s="6"/>
      <c r="K21" s="6"/>
      <c r="L21" s="1"/>
      <c r="M21" s="1"/>
      <c r="N21" s="1"/>
    </row>
    <row r="22" spans="1:14" ht="21.95" customHeight="1" x14ac:dyDescent="0.25">
      <c r="A22" s="6"/>
      <c r="B22" s="40" t="s">
        <v>237</v>
      </c>
      <c r="C22" s="55" t="s">
        <v>238</v>
      </c>
      <c r="D22" s="92">
        <v>800</v>
      </c>
      <c r="E22" s="50">
        <v>2</v>
      </c>
      <c r="F22" s="50">
        <v>1</v>
      </c>
      <c r="G22" s="93">
        <f t="shared" si="0"/>
        <v>1600</v>
      </c>
      <c r="H22" s="6"/>
      <c r="I22" s="6"/>
      <c r="J22" s="6"/>
      <c r="K22" s="6"/>
      <c r="L22" s="1"/>
      <c r="M22" s="1"/>
      <c r="N22" s="1"/>
    </row>
    <row r="23" spans="1:14" ht="21.95" customHeight="1" x14ac:dyDescent="0.25">
      <c r="A23" s="6"/>
      <c r="B23" s="41" t="s">
        <v>239</v>
      </c>
      <c r="C23" s="54" t="s">
        <v>240</v>
      </c>
      <c r="D23" s="94">
        <v>500</v>
      </c>
      <c r="E23" s="53">
        <v>2</v>
      </c>
      <c r="F23" s="53">
        <v>1</v>
      </c>
      <c r="G23" s="95">
        <f t="shared" si="0"/>
        <v>1000</v>
      </c>
      <c r="H23" s="6"/>
      <c r="I23" s="6"/>
      <c r="J23" s="6"/>
      <c r="K23" s="6"/>
      <c r="L23" s="1"/>
      <c r="M23" s="1"/>
      <c r="N23" s="1"/>
    </row>
    <row r="24" spans="1:14" ht="21.95" customHeight="1" x14ac:dyDescent="0.25">
      <c r="A24" s="6"/>
      <c r="B24" s="40" t="s">
        <v>241</v>
      </c>
      <c r="C24" s="55" t="s">
        <v>242</v>
      </c>
      <c r="D24" s="92">
        <v>0</v>
      </c>
      <c r="E24" s="50">
        <v>1</v>
      </c>
      <c r="F24" s="50">
        <v>1</v>
      </c>
      <c r="G24" s="93">
        <f>SUM(G16:G23)*0.1</f>
        <v>1590</v>
      </c>
      <c r="H24" s="6"/>
      <c r="I24" s="6"/>
      <c r="J24" s="6"/>
      <c r="K24" s="6"/>
      <c r="L24" s="1"/>
      <c r="M24" s="1"/>
      <c r="N24" s="1"/>
    </row>
    <row r="25" spans="1:14" ht="27.95" customHeight="1" thickBot="1" x14ac:dyDescent="0.35">
      <c r="A25" s="6"/>
      <c r="B25" s="176" t="s">
        <v>243</v>
      </c>
      <c r="C25" s="177"/>
      <c r="D25" s="178"/>
      <c r="E25" s="178"/>
      <c r="F25" s="178"/>
      <c r="G25" s="91">
        <f>SUM(G16:G24)</f>
        <v>17490</v>
      </c>
      <c r="H25" s="6"/>
      <c r="I25" s="6"/>
      <c r="J25" s="6"/>
      <c r="K25" s="6"/>
      <c r="L25" s="1"/>
      <c r="M25" s="1"/>
      <c r="N25" s="1"/>
    </row>
    <row r="26" spans="1:14" ht="15.75" thickBo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1"/>
      <c r="M26" s="1"/>
      <c r="N26" s="1"/>
    </row>
    <row r="27" spans="1:14" ht="30" customHeight="1" x14ac:dyDescent="0.35">
      <c r="A27" s="6"/>
      <c r="B27" s="183" t="s">
        <v>244</v>
      </c>
      <c r="C27" s="184"/>
      <c r="D27" s="184"/>
      <c r="E27" s="184"/>
      <c r="F27" s="184"/>
      <c r="G27" s="184"/>
      <c r="H27" s="184"/>
      <c r="I27" s="184"/>
      <c r="J27" s="165">
        <f>J13+G25</f>
        <v>346962</v>
      </c>
      <c r="K27" s="166"/>
      <c r="L27" s="167"/>
      <c r="M27" s="167"/>
      <c r="N27" s="1"/>
    </row>
    <row r="28" spans="1:14" ht="27.95" customHeight="1" x14ac:dyDescent="0.3">
      <c r="A28" s="6"/>
      <c r="B28" s="179" t="s">
        <v>245</v>
      </c>
      <c r="C28" s="180"/>
      <c r="D28" s="180"/>
      <c r="E28" s="180"/>
      <c r="F28" s="180"/>
      <c r="G28" s="180"/>
      <c r="H28" s="180"/>
      <c r="I28" s="180"/>
      <c r="J28" s="168">
        <f>J27*0.175</f>
        <v>60718.35</v>
      </c>
      <c r="K28" s="169"/>
      <c r="L28" s="170"/>
      <c r="M28" s="170"/>
      <c r="N28" s="1"/>
    </row>
    <row r="29" spans="1:14" ht="39.950000000000003" customHeight="1" x14ac:dyDescent="0.25">
      <c r="A29" s="6"/>
      <c r="B29" s="172" t="s">
        <v>246</v>
      </c>
      <c r="C29" s="173"/>
      <c r="D29" s="173"/>
      <c r="E29" s="173"/>
      <c r="F29" s="173"/>
      <c r="G29" s="173"/>
      <c r="H29" s="173"/>
      <c r="I29" s="173"/>
      <c r="J29" s="181" t="s">
        <v>302</v>
      </c>
      <c r="K29" s="173"/>
      <c r="L29" s="182"/>
      <c r="M29" s="182"/>
      <c r="N29" s="1"/>
    </row>
    <row r="30" spans="1:14" x14ac:dyDescent="0.25">
      <c r="A30" s="6"/>
      <c r="B30" s="6"/>
      <c r="C30" s="6"/>
      <c r="D30" s="6"/>
      <c r="E30" s="6"/>
      <c r="F30" s="6"/>
      <c r="G30" s="6"/>
      <c r="H30" s="6"/>
      <c r="I30" s="6"/>
      <c r="J30" s="82">
        <f>J27+J28</f>
        <v>407680.35</v>
      </c>
      <c r="K30" s="6"/>
      <c r="L30" s="1"/>
      <c r="M30" s="1"/>
      <c r="N30" s="1"/>
    </row>
    <row r="31" spans="1: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2">
        <f>K29</f>
        <v>0</v>
      </c>
      <c r="N34" s="1"/>
    </row>
    <row r="35" spans="1:1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</sheetData>
  <mergeCells count="11">
    <mergeCell ref="J27:M27"/>
    <mergeCell ref="J28:M28"/>
    <mergeCell ref="B2:M2"/>
    <mergeCell ref="B29:I29"/>
    <mergeCell ref="B3:M3"/>
    <mergeCell ref="B5:M5"/>
    <mergeCell ref="B25:F25"/>
    <mergeCell ref="B28:I28"/>
    <mergeCell ref="B14:M14"/>
    <mergeCell ref="J29:M29"/>
    <mergeCell ref="B27:I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61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2.85546875" customWidth="1"/>
    <col min="2" max="2" width="22.85546875" customWidth="1"/>
    <col min="3" max="3" width="28.5703125" customWidth="1"/>
    <col min="4" max="5" width="17.140625" customWidth="1"/>
    <col min="6" max="6" width="16.140625" customWidth="1"/>
    <col min="7" max="7" width="26.7109375" customWidth="1"/>
    <col min="8" max="10" width="17.140625" customWidth="1"/>
    <col min="11" max="11" width="19" customWidth="1"/>
    <col min="12" max="12" width="55.140625" bestFit="1" customWidth="1"/>
  </cols>
  <sheetData>
    <row r="1" spans="1:12" x14ac:dyDescent="0.25">
      <c r="A1" s="124"/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35.1" customHeight="1" x14ac:dyDescent="0.25">
      <c r="A2" s="6"/>
      <c r="B2" s="153" t="s">
        <v>247</v>
      </c>
      <c r="C2" s="142"/>
      <c r="D2" s="142"/>
      <c r="E2" s="142"/>
      <c r="F2" s="142"/>
      <c r="G2" s="142"/>
      <c r="H2" s="142"/>
      <c r="I2" s="142"/>
      <c r="J2" s="142"/>
      <c r="K2" s="142"/>
      <c r="L2" s="6"/>
    </row>
    <row r="3" spans="1:12" ht="24.95" customHeight="1" thickBot="1" x14ac:dyDescent="0.3">
      <c r="A3" s="6"/>
      <c r="B3" s="149" t="s">
        <v>248</v>
      </c>
      <c r="C3" s="150"/>
      <c r="D3" s="150"/>
      <c r="E3" s="150"/>
      <c r="F3" s="150"/>
      <c r="G3" s="150"/>
      <c r="H3" s="150"/>
      <c r="I3" s="150"/>
      <c r="J3" s="150"/>
      <c r="K3" s="150"/>
      <c r="L3" s="6"/>
    </row>
    <row r="4" spans="1:12" ht="8.1" customHeight="1" thickTop="1" x14ac:dyDescent="0.25">
      <c r="A4" s="6"/>
      <c r="B4" s="10"/>
      <c r="C4" s="10"/>
      <c r="D4" s="10"/>
      <c r="E4" s="10"/>
      <c r="F4" s="10"/>
      <c r="G4" s="10"/>
      <c r="H4" s="10"/>
      <c r="I4" s="10"/>
      <c r="J4" s="10"/>
      <c r="K4" s="10"/>
      <c r="L4" s="6"/>
    </row>
    <row r="5" spans="1:12" ht="27.95" customHeight="1" thickBot="1" x14ac:dyDescent="0.35">
      <c r="A5" s="6"/>
      <c r="B5" s="152" t="s">
        <v>249</v>
      </c>
      <c r="C5" s="151"/>
      <c r="D5" s="151"/>
      <c r="E5" s="151"/>
      <c r="F5" s="151"/>
      <c r="G5" s="151"/>
      <c r="H5" s="137"/>
      <c r="I5" s="151"/>
      <c r="J5" s="151"/>
      <c r="K5" s="151"/>
      <c r="L5" s="6"/>
    </row>
    <row r="6" spans="1:12" ht="27.95" customHeight="1" x14ac:dyDescent="0.25">
      <c r="A6" s="6"/>
      <c r="B6" s="37" t="s">
        <v>101</v>
      </c>
      <c r="C6" s="38" t="s">
        <v>250</v>
      </c>
      <c r="D6" s="38" t="s">
        <v>251</v>
      </c>
      <c r="E6" s="38" t="s">
        <v>104</v>
      </c>
      <c r="F6" s="197" t="s">
        <v>688</v>
      </c>
      <c r="G6" s="38" t="s">
        <v>252</v>
      </c>
      <c r="H6" s="38" t="s">
        <v>253</v>
      </c>
      <c r="I6" s="38" t="s">
        <v>254</v>
      </c>
      <c r="J6" s="38" t="s">
        <v>255</v>
      </c>
      <c r="K6" s="39" t="s">
        <v>105</v>
      </c>
      <c r="L6" s="39" t="s">
        <v>679</v>
      </c>
    </row>
    <row r="7" spans="1:12" ht="21.95" customHeight="1" x14ac:dyDescent="0.25">
      <c r="A7" s="6"/>
      <c r="B7" s="96" t="s">
        <v>107</v>
      </c>
      <c r="C7" s="379" cm="1">
        <f t="array" ref="C7">SUMPRODUCT(($G$21:$G$26&lt;=1)*$I$21:$I$26)</f>
        <v>160</v>
      </c>
      <c r="D7" s="97">
        <v>80</v>
      </c>
      <c r="E7" s="97">
        <f>C7-D7</f>
        <v>80</v>
      </c>
      <c r="F7" s="515">
        <f>IF(C7=0,0,E7/C7)</f>
        <v>0.5</v>
      </c>
      <c r="G7" s="97"/>
      <c r="H7" s="84"/>
      <c r="I7" s="98"/>
      <c r="J7" s="84"/>
      <c r="K7" s="52" t="str">
        <f>IF(F7&gt;0.1,"⚠️ Under Utilized",IF(F7&lt;-0.05,"🔴 Over Utilized","✅ Utilized"))</f>
        <v>⚠️ Under Utilized</v>
      </c>
      <c r="L7" s="513" t="s">
        <v>41</v>
      </c>
    </row>
    <row r="8" spans="1:12" ht="21.95" customHeight="1" x14ac:dyDescent="0.25">
      <c r="A8" s="6"/>
      <c r="B8" s="99" t="s">
        <v>110</v>
      </c>
      <c r="C8" s="381" cm="1">
        <f t="array" ref="C8">SUMPRODUCT(($G$21:$G$26&lt;=2)*$I$21:$I$26)</f>
        <v>376</v>
      </c>
      <c r="D8" s="100">
        <v>376</v>
      </c>
      <c r="E8" s="100">
        <f>C8-D8</f>
        <v>0</v>
      </c>
      <c r="F8" s="516">
        <f>IF(C8=0,0,E8/C8)</f>
        <v>0</v>
      </c>
      <c r="G8" s="100"/>
      <c r="H8" s="87"/>
      <c r="I8" s="101"/>
      <c r="J8" s="87"/>
      <c r="K8" s="58" t="str">
        <f>IF(F8&gt;0.1,"⚠️ Under Utilized",IF(F8&lt;-0.05,"🔴 Over Utilized","✅ Utilized"))</f>
        <v>✅ Utilized</v>
      </c>
      <c r="L8" s="514" t="s">
        <v>701</v>
      </c>
    </row>
    <row r="9" spans="1:12" ht="21.95" customHeight="1" x14ac:dyDescent="0.25">
      <c r="A9" s="6"/>
      <c r="B9" s="96" t="s">
        <v>113</v>
      </c>
      <c r="C9" s="379" cm="1">
        <f t="array" ref="C9">SUMPRODUCT(($G$21:$G$26&lt;=3)*$I$21:$I$26)</f>
        <v>376</v>
      </c>
      <c r="D9" s="97">
        <v>304</v>
      </c>
      <c r="E9" s="97">
        <f>C9-D9</f>
        <v>72</v>
      </c>
      <c r="F9" s="515">
        <f>IF(C9=0,0,E9/C9)</f>
        <v>0.19148936170212766</v>
      </c>
      <c r="G9" s="97"/>
      <c r="H9" s="84"/>
      <c r="I9" s="98"/>
      <c r="J9" s="84"/>
      <c r="K9" s="52" t="str">
        <f>IF(F9&gt;0.1,"⚠️ Under Utilized",IF(F9&lt;-0.05,"🔴 Over Utilized","✅ Utilized"))</f>
        <v>⚠️ Under Utilized</v>
      </c>
      <c r="L9" s="514" t="s">
        <v>703</v>
      </c>
    </row>
    <row r="10" spans="1:12" ht="21.95" customHeight="1" x14ac:dyDescent="0.25">
      <c r="A10" s="6"/>
      <c r="B10" s="99" t="s">
        <v>114</v>
      </c>
      <c r="C10" s="381" cm="1">
        <f t="array" ref="C10">SUMPRODUCT(($G$21:$G$26&lt;=4)*$I$21:$I$26)</f>
        <v>376</v>
      </c>
      <c r="D10" s="97">
        <v>304</v>
      </c>
      <c r="E10" s="100">
        <f>C10-D10</f>
        <v>72</v>
      </c>
      <c r="F10" s="516">
        <f>IF(C10=0,0,E10/C10)</f>
        <v>0.19148936170212766</v>
      </c>
      <c r="G10" s="100"/>
      <c r="H10" s="87"/>
      <c r="I10" s="101"/>
      <c r="J10" s="87"/>
      <c r="K10" s="58" t="str">
        <f>IF(F10&gt;0.1,"⚠️ Under Utilized",IF(F10&lt;-0.05,"🔴 Over Utilized","✅ Utilized"))</f>
        <v>⚠️ Under Utilized</v>
      </c>
      <c r="L10" s="514" t="s">
        <v>703</v>
      </c>
    </row>
    <row r="11" spans="1:12" ht="21.95" customHeight="1" x14ac:dyDescent="0.25">
      <c r="A11" s="6"/>
      <c r="B11" s="96" t="s">
        <v>117</v>
      </c>
      <c r="C11" s="379" cm="1">
        <f t="array" ref="C11">SUMPRODUCT(($G$21:$G$26&lt;=5)*$I$21:$I$26)</f>
        <v>376</v>
      </c>
      <c r="D11" s="97">
        <v>376</v>
      </c>
      <c r="E11" s="97">
        <f>C11-D11</f>
        <v>0</v>
      </c>
      <c r="F11" s="515">
        <f>IF(C11=0,0,E11/C11)</f>
        <v>0</v>
      </c>
      <c r="G11" s="97"/>
      <c r="H11" s="84"/>
      <c r="I11" s="98"/>
      <c r="J11" s="84"/>
      <c r="K11" s="52" t="str">
        <f>IF(F11&gt;0.1,"⚠️ Under Utilized",IF(F11&lt;-0.05,"🔴 Over Utilized","✅ Utilized"))</f>
        <v>✅ Utilized</v>
      </c>
      <c r="L11" s="514" t="s">
        <v>701</v>
      </c>
    </row>
    <row r="12" spans="1:12" ht="21.95" customHeight="1" x14ac:dyDescent="0.25">
      <c r="A12" s="6"/>
      <c r="B12" s="99" t="s">
        <v>119</v>
      </c>
      <c r="C12" s="381" cm="1">
        <f t="array" ref="C12">SUMPRODUCT(($G$21:$G$26&lt;=6)*$I$21:$I$26)</f>
        <v>376</v>
      </c>
      <c r="D12" s="100">
        <v>376</v>
      </c>
      <c r="E12" s="100">
        <f>C12-D12</f>
        <v>0</v>
      </c>
      <c r="F12" s="516">
        <f>IF(C12=0,0,E12/C12)</f>
        <v>0</v>
      </c>
      <c r="G12" s="100"/>
      <c r="H12" s="87"/>
      <c r="I12" s="101"/>
      <c r="J12" s="87"/>
      <c r="K12" s="58" t="str">
        <f>IF(F12&gt;0.1,"⚠️ Under Utilized",IF(F12&lt;-0.05,"🔴 Over Utilized","✅ Utilized"))</f>
        <v>✅ Utilized</v>
      </c>
      <c r="L12" s="514" t="s">
        <v>701</v>
      </c>
    </row>
    <row r="13" spans="1:12" ht="21.95" customHeight="1" x14ac:dyDescent="0.25">
      <c r="A13" s="6"/>
      <c r="B13" s="96" t="s">
        <v>121</v>
      </c>
      <c r="C13" s="379" cm="1">
        <f t="array" ref="C13">SUMPRODUCT(($G$21:$G$26&lt;=7)*$I$21:$I$26)</f>
        <v>424</v>
      </c>
      <c r="D13" s="97">
        <v>424</v>
      </c>
      <c r="E13" s="97">
        <f>C13-D13</f>
        <v>0</v>
      </c>
      <c r="F13" s="515">
        <f>IF(C13=0,0,E13/C13)</f>
        <v>0</v>
      </c>
      <c r="G13" s="97"/>
      <c r="H13" s="84"/>
      <c r="I13" s="98"/>
      <c r="J13" s="84"/>
      <c r="K13" s="52" t="str">
        <f>IF(F13&gt;0.1,"⚠️ Under Utilized",IF(F13&lt;-0.05,"🔴 Over Utilized","✅ Utilized"))</f>
        <v>✅ Utilized</v>
      </c>
      <c r="L13" s="514" t="s">
        <v>702</v>
      </c>
    </row>
    <row r="14" spans="1:12" ht="21.95" customHeight="1" x14ac:dyDescent="0.25">
      <c r="A14" s="6"/>
      <c r="B14" s="99" t="s">
        <v>256</v>
      </c>
      <c r="C14" s="381" cm="1">
        <f t="array" ref="C14">SUMPRODUCT(($G$21:$G$26&lt;=8)*$I$21:$I$26)</f>
        <v>424</v>
      </c>
      <c r="D14" s="100">
        <v>424</v>
      </c>
      <c r="E14" s="100">
        <f>C14-D14</f>
        <v>0</v>
      </c>
      <c r="F14" s="516">
        <f>IF(C14=0,0,E14/C14)</f>
        <v>0</v>
      </c>
      <c r="G14" s="100"/>
      <c r="H14" s="87"/>
      <c r="I14" s="101"/>
      <c r="J14" s="87"/>
      <c r="K14" s="58" t="str">
        <f>IF(F14&gt;0.1,"⚠️ Under Utilized",IF(F14&lt;-0.05,"🔴 Over Utilized","✅ Utilized"))</f>
        <v>✅ Utilized</v>
      </c>
      <c r="L14" s="514" t="s">
        <v>702</v>
      </c>
    </row>
    <row r="15" spans="1:12" ht="27.95" customHeight="1" x14ac:dyDescent="0.25">
      <c r="A15" s="6"/>
      <c r="B15" s="192" t="s">
        <v>305</v>
      </c>
      <c r="C15" s="391" cm="1">
        <f t="array" ref="C15">SUMPRODUCT(($G$21:$G$26&lt;=9)*$I$21:$I$26)</f>
        <v>424</v>
      </c>
      <c r="D15" s="193">
        <v>424</v>
      </c>
      <c r="E15" s="193">
        <f>C15-D15</f>
        <v>0</v>
      </c>
      <c r="F15" s="517">
        <f>IF(C15=0,0,E15/C15)</f>
        <v>0</v>
      </c>
      <c r="G15" s="193"/>
      <c r="H15" s="194"/>
      <c r="I15" s="195"/>
      <c r="J15" s="194"/>
      <c r="K15" s="518" t="str">
        <f>IF(F15&gt;0.1,"⚠️ Under Utilized",IF(F15&lt;-0.05,"🔴 Over Utilized","✅ Utilized"))</f>
        <v>✅ Utilized</v>
      </c>
      <c r="L15" s="514" t="s">
        <v>702</v>
      </c>
    </row>
    <row r="16" spans="1:12" ht="17.25" thickBot="1" x14ac:dyDescent="0.3">
      <c r="A16" s="6"/>
      <c r="B16" s="102" t="s">
        <v>83</v>
      </c>
      <c r="C16" s="59">
        <f>SUM(C7:C15)</f>
        <v>3312</v>
      </c>
      <c r="D16" s="495">
        <f>SUM(D7:D15)</f>
        <v>3088</v>
      </c>
      <c r="E16" s="495">
        <f>SUM(E7:E15)</f>
        <v>224</v>
      </c>
      <c r="F16" s="496">
        <f>IF(C16=0,0,E16/C16)</f>
        <v>6.7632850241545889E-2</v>
      </c>
      <c r="G16" s="60"/>
      <c r="H16" s="90"/>
      <c r="I16" s="103" t="str">
        <f>IFERROR(AVERAGE(I7:I14),"")</f>
        <v/>
      </c>
      <c r="J16" s="90"/>
      <c r="K16" s="61"/>
      <c r="L16" s="61"/>
    </row>
    <row r="17" spans="1:1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ht="17.25" x14ac:dyDescent="0.3">
      <c r="A19" s="6"/>
      <c r="B19" s="499" t="s">
        <v>680</v>
      </c>
      <c r="C19" s="499"/>
      <c r="D19" s="499"/>
      <c r="E19" s="499"/>
      <c r="F19" s="499"/>
      <c r="G19" s="499"/>
      <c r="H19" s="499"/>
      <c r="I19" s="499"/>
      <c r="J19" s="6"/>
      <c r="K19" s="6"/>
      <c r="L19" s="6"/>
    </row>
    <row r="20" spans="1:12" x14ac:dyDescent="0.25">
      <c r="A20" s="6"/>
      <c r="B20" s="494" t="s">
        <v>210</v>
      </c>
      <c r="C20" s="494" t="s">
        <v>57</v>
      </c>
      <c r="D20" s="494" t="s">
        <v>681</v>
      </c>
      <c r="E20" s="494" t="s">
        <v>682</v>
      </c>
      <c r="F20" s="494" t="s">
        <v>683</v>
      </c>
      <c r="G20" s="494" t="s">
        <v>689</v>
      </c>
      <c r="H20" s="494" t="s">
        <v>690</v>
      </c>
      <c r="I20" s="494" t="s">
        <v>211</v>
      </c>
      <c r="J20" s="6"/>
      <c r="K20" s="6"/>
      <c r="L20" s="6"/>
    </row>
    <row r="21" spans="1:12" x14ac:dyDescent="0.25">
      <c r="A21" s="1"/>
      <c r="B21" s="500" t="s">
        <v>42</v>
      </c>
      <c r="C21" s="500" t="s">
        <v>41</v>
      </c>
      <c r="D21" s="500" t="s">
        <v>107</v>
      </c>
      <c r="E21" s="500" t="s">
        <v>305</v>
      </c>
      <c r="F21" s="500" t="s">
        <v>684</v>
      </c>
      <c r="G21" s="501">
        <v>1</v>
      </c>
      <c r="H21" s="502">
        <f>'⚙️ Config'!F19</f>
        <v>1</v>
      </c>
      <c r="I21" s="503">
        <f>'⚙️ Config'!$C$11*5*'⚙️ Config'!$C$13*H21</f>
        <v>80</v>
      </c>
      <c r="J21" s="6"/>
      <c r="K21" s="6"/>
      <c r="L21" s="1"/>
    </row>
    <row r="22" spans="1:12" x14ac:dyDescent="0.25">
      <c r="A22" s="1"/>
      <c r="B22" s="504" t="s">
        <v>63</v>
      </c>
      <c r="C22" s="504" t="s">
        <v>64</v>
      </c>
      <c r="D22" s="500" t="s">
        <v>107</v>
      </c>
      <c r="E22" s="500" t="s">
        <v>305</v>
      </c>
      <c r="F22" s="500" t="s">
        <v>684</v>
      </c>
      <c r="G22" s="501">
        <v>1</v>
      </c>
      <c r="H22" s="505">
        <f>'⚙️ Config'!F20</f>
        <v>1</v>
      </c>
      <c r="I22" s="506">
        <f>'⚙️ Config'!$C$11*5*'⚙️ Config'!$C$13*H22</f>
        <v>80</v>
      </c>
      <c r="J22" s="1"/>
      <c r="K22" s="1"/>
      <c r="L22" s="1"/>
    </row>
    <row r="23" spans="1:12" x14ac:dyDescent="0.25">
      <c r="A23" s="1"/>
      <c r="B23" s="504" t="s">
        <v>62</v>
      </c>
      <c r="C23" s="504" t="s">
        <v>476</v>
      </c>
      <c r="D23" s="504" t="s">
        <v>110</v>
      </c>
      <c r="E23" s="504" t="s">
        <v>305</v>
      </c>
      <c r="F23" s="504" t="s">
        <v>686</v>
      </c>
      <c r="G23" s="501">
        <v>2</v>
      </c>
      <c r="H23" s="505">
        <f>'⚙️ Config'!F21</f>
        <v>0.9</v>
      </c>
      <c r="I23" s="506">
        <f>'⚙️ Config'!$C$11*5*'⚙️ Config'!$C$13*H23</f>
        <v>72</v>
      </c>
      <c r="J23" s="1"/>
      <c r="K23" s="1"/>
      <c r="L23" s="1"/>
    </row>
    <row r="24" spans="1:12" x14ac:dyDescent="0.25">
      <c r="A24" s="1"/>
      <c r="B24" s="507" t="s">
        <v>598</v>
      </c>
      <c r="C24" s="507" t="s">
        <v>599</v>
      </c>
      <c r="D24" s="507" t="s">
        <v>110</v>
      </c>
      <c r="E24" s="507" t="s">
        <v>305</v>
      </c>
      <c r="F24" s="507" t="s">
        <v>686</v>
      </c>
      <c r="G24" s="501">
        <v>2</v>
      </c>
      <c r="H24" s="505">
        <f>'⚙️ Config'!F22</f>
        <v>0.9</v>
      </c>
      <c r="I24" s="506">
        <f>'⚙️ Config'!$C$11*5*'⚙️ Config'!$C$13*H24</f>
        <v>72</v>
      </c>
      <c r="J24" s="1"/>
      <c r="K24" s="1"/>
      <c r="L24" s="1"/>
    </row>
    <row r="25" spans="1:12" x14ac:dyDescent="0.25">
      <c r="A25" s="1"/>
      <c r="B25" s="507" t="s">
        <v>66</v>
      </c>
      <c r="C25" s="507" t="s">
        <v>67</v>
      </c>
      <c r="D25" s="504" t="s">
        <v>121</v>
      </c>
      <c r="E25" s="504" t="s">
        <v>305</v>
      </c>
      <c r="F25" s="504" t="s">
        <v>687</v>
      </c>
      <c r="G25" s="501">
        <v>7</v>
      </c>
      <c r="H25" s="505">
        <f>'⚙️ Config'!F23</f>
        <v>0.6</v>
      </c>
      <c r="I25" s="506">
        <f>'⚙️ Config'!$C$11*5*'⚙️ Config'!$C$13*H25</f>
        <v>48</v>
      </c>
      <c r="J25" s="1"/>
      <c r="K25" s="1"/>
      <c r="L25" s="1"/>
    </row>
    <row r="26" spans="1:12" x14ac:dyDescent="0.25">
      <c r="A26" s="1"/>
      <c r="B26" s="507" t="s">
        <v>68</v>
      </c>
      <c r="C26" s="507" t="s">
        <v>685</v>
      </c>
      <c r="D26" s="507" t="s">
        <v>110</v>
      </c>
      <c r="E26" s="507" t="s">
        <v>305</v>
      </c>
      <c r="F26" s="507" t="s">
        <v>686</v>
      </c>
      <c r="G26" s="501">
        <v>2</v>
      </c>
      <c r="H26" s="505">
        <f>'⚙️ Config'!F24</f>
        <v>0.9</v>
      </c>
      <c r="I26" s="506">
        <f>'⚙️ Config'!$C$11*5*'⚙️ Config'!$C$13*H26</f>
        <v>72</v>
      </c>
      <c r="J26" s="1"/>
      <c r="K26" s="1"/>
      <c r="L26" s="1"/>
    </row>
    <row r="27" spans="1:12" x14ac:dyDescent="0.25">
      <c r="A27" s="497"/>
      <c r="B27" s="497"/>
      <c r="C27" s="497"/>
      <c r="D27" s="497"/>
      <c r="E27" s="497"/>
      <c r="F27" s="497"/>
      <c r="G27" s="497"/>
      <c r="H27" s="247"/>
      <c r="I27" s="498"/>
      <c r="J27" s="1"/>
      <c r="K27" s="1"/>
      <c r="L27" s="1"/>
    </row>
    <row r="28" spans="1:12" x14ac:dyDescent="0.25">
      <c r="A28" s="1"/>
      <c r="B28" s="493" t="s">
        <v>691</v>
      </c>
      <c r="C28" s="493"/>
      <c r="D28" s="493"/>
      <c r="E28" s="493"/>
      <c r="F28" s="493"/>
      <c r="G28" s="493"/>
      <c r="H28" s="1"/>
      <c r="I28" s="1"/>
      <c r="J28" s="1"/>
      <c r="K28" s="1"/>
      <c r="L28" s="1"/>
    </row>
    <row r="29" spans="1:12" x14ac:dyDescent="0.25">
      <c r="A29" s="1"/>
      <c r="B29" s="508" t="s">
        <v>692</v>
      </c>
      <c r="C29" s="509" t="s">
        <v>697</v>
      </c>
      <c r="D29" s="198"/>
      <c r="E29" s="198"/>
      <c r="F29" s="198"/>
      <c r="G29" s="198"/>
      <c r="H29" s="1"/>
      <c r="I29" s="1"/>
      <c r="J29" s="1"/>
      <c r="K29" s="1"/>
      <c r="L29" s="1"/>
    </row>
    <row r="30" spans="1:12" x14ac:dyDescent="0.25">
      <c r="A30" s="1"/>
      <c r="B30" s="510" t="s">
        <v>693</v>
      </c>
      <c r="C30" s="511" t="s">
        <v>698</v>
      </c>
      <c r="D30" s="196"/>
      <c r="E30" s="196"/>
      <c r="F30" s="196"/>
      <c r="G30" s="196"/>
      <c r="H30" s="1"/>
      <c r="I30" s="1"/>
      <c r="J30" s="1"/>
      <c r="K30" s="1"/>
      <c r="L30" s="1"/>
    </row>
    <row r="31" spans="1:12" x14ac:dyDescent="0.25">
      <c r="A31" s="1"/>
      <c r="B31" s="508" t="s">
        <v>694</v>
      </c>
      <c r="C31" s="509" t="s">
        <v>699</v>
      </c>
      <c r="D31" s="198"/>
      <c r="E31" s="198"/>
      <c r="F31" s="198"/>
      <c r="G31" s="198"/>
      <c r="H31" s="1"/>
      <c r="I31" s="1"/>
      <c r="J31" s="1"/>
      <c r="K31" s="1"/>
      <c r="L31" s="1"/>
    </row>
    <row r="32" spans="1:12" x14ac:dyDescent="0.25">
      <c r="A32" s="1"/>
      <c r="B32" s="510" t="s">
        <v>695</v>
      </c>
      <c r="C32" s="511" t="s">
        <v>700</v>
      </c>
      <c r="D32" s="196"/>
      <c r="E32" s="196"/>
      <c r="F32" s="196"/>
      <c r="G32" s="196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512" t="s">
        <v>696</v>
      </c>
      <c r="C34" s="512"/>
      <c r="D34" s="512"/>
      <c r="E34" s="512"/>
      <c r="F34" s="512"/>
      <c r="G34" s="512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</row>
  </sheetData>
  <mergeCells count="6">
    <mergeCell ref="B3:K3"/>
    <mergeCell ref="B5:K5"/>
    <mergeCell ref="B2:K2"/>
    <mergeCell ref="B34:G34"/>
    <mergeCell ref="B19:I19"/>
    <mergeCell ref="B28:G28"/>
  </mergeCells>
  <conditionalFormatting sqref="E7:E15">
    <cfRule type="cellIs" dxfId="4" priority="1" operator="greaterThan">
      <formula>0</formula>
    </cfRule>
  </conditionalFormatting>
  <conditionalFormatting sqref="E7:E15">
    <cfRule type="cellIs" dxfId="3" priority="2" operator="lessThan">
      <formula>0</formula>
    </cfRule>
  </conditionalFormatting>
  <conditionalFormatting sqref="K7:K15">
    <cfRule type="containsText" dxfId="2" priority="3" operator="containsText" text="✅ Utilized">
      <formula>NOT(ISERROR(SEARCH("✅ Utilized",K7)))</formula>
    </cfRule>
  </conditionalFormatting>
  <conditionalFormatting sqref="K7:K15">
    <cfRule type="containsText" dxfId="1" priority="4" operator="containsText" text="Under Utilized">
      <formula>NOT(ISERROR(SEARCH("Under Utilized",K7)))</formula>
    </cfRule>
  </conditionalFormatting>
  <conditionalFormatting sqref="K7:K15">
    <cfRule type="containsText" dxfId="0" priority="5" operator="containsText" text="Over Utilized">
      <formula>NOT(ISERROR(SEARCH("Over Utilized",K7)))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3"/>
  <sheetViews>
    <sheetView showGridLines="0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2.85546875" customWidth="1"/>
    <col min="2" max="2" width="114.28515625" customWidth="1"/>
    <col min="3" max="9" width="19" customWidth="1"/>
  </cols>
  <sheetData>
    <row r="1" spans="1:9" ht="15.75" thickBot="1" x14ac:dyDescent="0.3">
      <c r="A1" s="104"/>
      <c r="B1" s="104"/>
      <c r="C1" s="104"/>
      <c r="D1" s="104"/>
      <c r="E1" s="105"/>
      <c r="F1" s="105"/>
      <c r="G1" s="105"/>
      <c r="H1" s="105"/>
      <c r="I1" s="105"/>
    </row>
    <row r="2" spans="1:9" ht="27" thickBot="1" x14ac:dyDescent="0.3">
      <c r="A2" s="104"/>
      <c r="B2" s="189" t="s">
        <v>257</v>
      </c>
      <c r="C2" s="190"/>
      <c r="D2" s="129"/>
      <c r="E2" s="5"/>
      <c r="F2" s="5"/>
      <c r="G2" s="5"/>
      <c r="H2" s="5"/>
      <c r="I2" s="105"/>
    </row>
    <row r="3" spans="1:9" ht="15.75" thickTop="1" x14ac:dyDescent="0.25">
      <c r="A3" s="104"/>
      <c r="B3" s="107"/>
      <c r="C3" s="108"/>
      <c r="D3" s="109"/>
      <c r="E3" s="110"/>
      <c r="F3" s="110"/>
      <c r="G3" s="110"/>
      <c r="H3" s="110"/>
      <c r="I3" s="105"/>
    </row>
    <row r="4" spans="1:9" x14ac:dyDescent="0.25">
      <c r="A4" s="104"/>
      <c r="B4" s="111" t="s">
        <v>258</v>
      </c>
      <c r="C4" s="112" t="s">
        <v>259</v>
      </c>
      <c r="D4" s="113"/>
      <c r="E4" s="113"/>
      <c r="F4" s="113"/>
      <c r="G4" s="113"/>
      <c r="H4" s="113"/>
      <c r="I4" s="105"/>
    </row>
    <row r="5" spans="1:9" x14ac:dyDescent="0.25">
      <c r="A5" s="104"/>
      <c r="B5" s="187" t="s">
        <v>260</v>
      </c>
      <c r="C5" s="188"/>
      <c r="D5" s="113"/>
      <c r="E5" s="113"/>
      <c r="F5" s="113"/>
      <c r="G5" s="113"/>
      <c r="H5" s="113"/>
      <c r="I5" s="105"/>
    </row>
    <row r="6" spans="1:9" ht="28.5" x14ac:dyDescent="0.25">
      <c r="A6" s="104"/>
      <c r="B6" s="114" t="s">
        <v>261</v>
      </c>
      <c r="C6" s="115" t="s">
        <v>262</v>
      </c>
      <c r="D6" s="113"/>
      <c r="E6" s="113"/>
      <c r="F6" s="113"/>
      <c r="G6" s="113"/>
      <c r="H6" s="113"/>
      <c r="I6" s="105"/>
    </row>
    <row r="7" spans="1:9" x14ac:dyDescent="0.25">
      <c r="A7" s="104"/>
      <c r="B7" s="187" t="s">
        <v>263</v>
      </c>
      <c r="C7" s="188"/>
      <c r="D7" s="113"/>
      <c r="E7" s="113"/>
      <c r="F7" s="113"/>
      <c r="G7" s="113"/>
      <c r="H7" s="113"/>
      <c r="I7" s="105"/>
    </row>
    <row r="8" spans="1:9" ht="28.5" x14ac:dyDescent="0.25">
      <c r="A8" s="104"/>
      <c r="B8" s="114" t="s">
        <v>264</v>
      </c>
      <c r="C8" s="115" t="s">
        <v>265</v>
      </c>
      <c r="D8" s="113"/>
      <c r="E8" s="113"/>
      <c r="F8" s="113"/>
      <c r="G8" s="113"/>
      <c r="H8" s="113"/>
      <c r="I8" s="105"/>
    </row>
    <row r="9" spans="1:9" x14ac:dyDescent="0.25">
      <c r="A9" s="104"/>
      <c r="B9" s="187" t="s">
        <v>266</v>
      </c>
      <c r="C9" s="188"/>
      <c r="D9" s="113"/>
      <c r="E9" s="113"/>
      <c r="F9" s="113"/>
      <c r="G9" s="113"/>
      <c r="H9" s="113"/>
      <c r="I9" s="105"/>
    </row>
    <row r="10" spans="1:9" ht="28.5" x14ac:dyDescent="0.25">
      <c r="A10" s="104"/>
      <c r="B10" s="114" t="s">
        <v>267</v>
      </c>
      <c r="C10" s="115" t="s">
        <v>268</v>
      </c>
      <c r="D10" s="113"/>
      <c r="E10" s="113"/>
      <c r="F10" s="113"/>
      <c r="G10" s="113"/>
      <c r="H10" s="113"/>
      <c r="I10" s="105"/>
    </row>
    <row r="11" spans="1:9" x14ac:dyDescent="0.25">
      <c r="A11" s="104"/>
      <c r="B11" s="187" t="s">
        <v>269</v>
      </c>
      <c r="C11" s="188"/>
      <c r="D11" s="113"/>
      <c r="E11" s="113"/>
      <c r="F11" s="113"/>
      <c r="G11" s="113"/>
      <c r="H11" s="113"/>
      <c r="I11" s="105"/>
    </row>
    <row r="12" spans="1:9" x14ac:dyDescent="0.25">
      <c r="A12" s="104"/>
      <c r="B12" s="114" t="s">
        <v>270</v>
      </c>
      <c r="C12" s="115" t="s">
        <v>271</v>
      </c>
      <c r="D12" s="113"/>
      <c r="E12" s="113"/>
      <c r="F12" s="113"/>
      <c r="G12" s="113"/>
      <c r="H12" s="113"/>
      <c r="I12" s="105"/>
    </row>
    <row r="13" spans="1:9" x14ac:dyDescent="0.25">
      <c r="A13" s="104"/>
      <c r="B13" s="187" t="s">
        <v>272</v>
      </c>
      <c r="C13" s="188"/>
      <c r="D13" s="113"/>
      <c r="E13" s="113"/>
      <c r="F13" s="113"/>
      <c r="G13" s="113"/>
      <c r="H13" s="113"/>
      <c r="I13" s="105"/>
    </row>
    <row r="14" spans="1:9" x14ac:dyDescent="0.25">
      <c r="A14" s="104"/>
      <c r="B14" s="114" t="s">
        <v>273</v>
      </c>
      <c r="C14" s="115" t="s">
        <v>274</v>
      </c>
      <c r="D14" s="113"/>
      <c r="E14" s="113"/>
      <c r="F14" s="113"/>
      <c r="G14" s="113"/>
      <c r="H14" s="113"/>
      <c r="I14" s="105"/>
    </row>
    <row r="15" spans="1:9" x14ac:dyDescent="0.25">
      <c r="A15" s="104"/>
      <c r="B15" s="187" t="s">
        <v>275</v>
      </c>
      <c r="C15" s="188"/>
      <c r="D15" s="113"/>
      <c r="E15" s="113"/>
      <c r="F15" s="113"/>
      <c r="G15" s="113"/>
      <c r="H15" s="113"/>
      <c r="I15" s="105"/>
    </row>
    <row r="16" spans="1:9" ht="28.5" x14ac:dyDescent="0.25">
      <c r="A16" s="104"/>
      <c r="B16" s="114" t="s">
        <v>276</v>
      </c>
      <c r="C16" s="115" t="s">
        <v>277</v>
      </c>
      <c r="D16" s="113"/>
      <c r="E16" s="113"/>
      <c r="F16" s="113"/>
      <c r="G16" s="113"/>
      <c r="H16" s="113"/>
      <c r="I16" s="105"/>
    </row>
    <row r="17" spans="1:9" x14ac:dyDescent="0.25">
      <c r="A17" s="104"/>
      <c r="B17" s="187" t="s">
        <v>278</v>
      </c>
      <c r="C17" s="188"/>
      <c r="D17" s="113"/>
      <c r="E17" s="113"/>
      <c r="F17" s="113"/>
      <c r="G17" s="113"/>
      <c r="H17" s="113"/>
      <c r="I17" s="105"/>
    </row>
    <row r="18" spans="1:9" ht="28.5" x14ac:dyDescent="0.25">
      <c r="A18" s="104"/>
      <c r="B18" s="114" t="s">
        <v>279</v>
      </c>
      <c r="C18" s="115" t="s">
        <v>280</v>
      </c>
      <c r="D18" s="113"/>
      <c r="E18" s="113"/>
      <c r="F18" s="113"/>
      <c r="G18" s="113"/>
      <c r="H18" s="113"/>
      <c r="I18" s="105"/>
    </row>
    <row r="19" spans="1:9" x14ac:dyDescent="0.25">
      <c r="A19" s="104"/>
      <c r="B19" s="187" t="s">
        <v>281</v>
      </c>
      <c r="C19" s="188"/>
      <c r="D19" s="113"/>
      <c r="E19" s="113"/>
      <c r="F19" s="113"/>
      <c r="G19" s="113"/>
      <c r="H19" s="113"/>
      <c r="I19" s="105"/>
    </row>
    <row r="20" spans="1:9" ht="28.5" x14ac:dyDescent="0.25">
      <c r="A20" s="104"/>
      <c r="B20" s="114" t="s">
        <v>282</v>
      </c>
      <c r="C20" s="115" t="s">
        <v>283</v>
      </c>
      <c r="D20" s="113"/>
      <c r="E20" s="113"/>
      <c r="F20" s="113"/>
      <c r="G20" s="113"/>
      <c r="H20" s="113"/>
      <c r="I20" s="105"/>
    </row>
    <row r="21" spans="1:9" x14ac:dyDescent="0.25">
      <c r="A21" s="104"/>
      <c r="B21" s="187" t="s">
        <v>284</v>
      </c>
      <c r="C21" s="188"/>
      <c r="D21" s="113"/>
      <c r="E21" s="113"/>
      <c r="F21" s="113"/>
      <c r="G21" s="113"/>
      <c r="H21" s="113"/>
      <c r="I21" s="105"/>
    </row>
    <row r="22" spans="1:9" ht="28.5" x14ac:dyDescent="0.25">
      <c r="A22" s="104"/>
      <c r="B22" s="114" t="s">
        <v>285</v>
      </c>
      <c r="C22" s="115" t="s">
        <v>286</v>
      </c>
      <c r="D22" s="113"/>
      <c r="E22" s="113"/>
      <c r="F22" s="113"/>
      <c r="G22" s="113"/>
      <c r="H22" s="113"/>
      <c r="I22" s="105"/>
    </row>
    <row r="23" spans="1:9" x14ac:dyDescent="0.25">
      <c r="A23" s="104"/>
      <c r="B23" s="187" t="s">
        <v>287</v>
      </c>
      <c r="C23" s="188"/>
      <c r="D23" s="113"/>
      <c r="E23" s="113"/>
      <c r="F23" s="113"/>
      <c r="G23" s="113"/>
      <c r="H23" s="113"/>
      <c r="I23" s="105"/>
    </row>
    <row r="24" spans="1:9" ht="28.5" x14ac:dyDescent="0.25">
      <c r="A24" s="104"/>
      <c r="B24" s="114" t="s">
        <v>288</v>
      </c>
      <c r="C24" s="115" t="s">
        <v>289</v>
      </c>
      <c r="D24" s="113"/>
      <c r="E24" s="113"/>
      <c r="F24" s="113"/>
      <c r="G24" s="113"/>
      <c r="H24" s="113"/>
      <c r="I24" s="105"/>
    </row>
    <row r="25" spans="1:9" x14ac:dyDescent="0.25">
      <c r="A25" s="104"/>
      <c r="B25" s="187" t="s">
        <v>290</v>
      </c>
      <c r="C25" s="188"/>
      <c r="D25" s="113"/>
      <c r="E25" s="113"/>
      <c r="F25" s="113"/>
      <c r="G25" s="113"/>
      <c r="H25" s="113"/>
      <c r="I25" s="105"/>
    </row>
    <row r="26" spans="1:9" ht="28.5" x14ac:dyDescent="0.25">
      <c r="A26" s="104"/>
      <c r="B26" s="114" t="s">
        <v>291</v>
      </c>
      <c r="C26" s="115" t="s">
        <v>292</v>
      </c>
      <c r="D26" s="113"/>
      <c r="E26" s="113"/>
      <c r="F26" s="113"/>
      <c r="G26" s="113"/>
      <c r="H26" s="113"/>
      <c r="I26" s="105"/>
    </row>
    <row r="27" spans="1:9" x14ac:dyDescent="0.25">
      <c r="A27" s="104"/>
      <c r="B27" s="187" t="s">
        <v>293</v>
      </c>
      <c r="C27" s="188"/>
      <c r="D27" s="113"/>
      <c r="E27" s="113"/>
      <c r="F27" s="113"/>
      <c r="G27" s="113"/>
      <c r="H27" s="113"/>
      <c r="I27" s="105"/>
    </row>
    <row r="28" spans="1:9" ht="28.5" x14ac:dyDescent="0.25">
      <c r="A28" s="104"/>
      <c r="B28" s="114" t="s">
        <v>294</v>
      </c>
      <c r="C28" s="115" t="s">
        <v>295</v>
      </c>
      <c r="D28" s="113"/>
      <c r="E28" s="113"/>
      <c r="F28" s="113"/>
      <c r="G28" s="113"/>
      <c r="H28" s="113"/>
      <c r="I28" s="105"/>
    </row>
    <row r="29" spans="1:9" x14ac:dyDescent="0.25">
      <c r="A29" s="104"/>
      <c r="B29" s="187" t="s">
        <v>296</v>
      </c>
      <c r="C29" s="188"/>
      <c r="D29" s="113"/>
      <c r="E29" s="113"/>
      <c r="F29" s="113"/>
      <c r="G29" s="113"/>
      <c r="H29" s="113"/>
      <c r="I29" s="105"/>
    </row>
    <row r="30" spans="1:9" ht="57" x14ac:dyDescent="0.25">
      <c r="A30" s="104"/>
      <c r="B30" s="116" t="s">
        <v>297</v>
      </c>
      <c r="C30" s="117" t="s">
        <v>298</v>
      </c>
      <c r="D30" s="113"/>
      <c r="E30" s="113"/>
      <c r="F30" s="113"/>
      <c r="G30" s="113"/>
      <c r="H30" s="113"/>
      <c r="I30" s="105"/>
    </row>
    <row r="31" spans="1:9" ht="15.75" thickBot="1" x14ac:dyDescent="0.3">
      <c r="A31" s="104"/>
      <c r="B31" s="185" t="s">
        <v>299</v>
      </c>
      <c r="C31" s="186"/>
      <c r="D31" s="113"/>
      <c r="E31" s="113"/>
      <c r="F31" s="113"/>
      <c r="G31" s="113"/>
      <c r="H31" s="113"/>
      <c r="I31" s="105"/>
    </row>
    <row r="32" spans="1:9" x14ac:dyDescent="0.25">
      <c r="A32" s="106"/>
      <c r="B32" s="118"/>
      <c r="C32" s="118"/>
      <c r="D32" s="113"/>
      <c r="E32" s="113"/>
      <c r="F32" s="113"/>
      <c r="G32" s="113"/>
      <c r="H32" s="113"/>
      <c r="I32" s="106"/>
    </row>
    <row r="33" spans="1:9" x14ac:dyDescent="0.25">
      <c r="A33" s="106"/>
      <c r="B33" s="113"/>
      <c r="C33" s="113"/>
      <c r="D33" s="113"/>
      <c r="E33" s="113"/>
      <c r="F33" s="113"/>
      <c r="G33" s="113"/>
      <c r="H33" s="113"/>
      <c r="I33" s="106"/>
    </row>
    <row r="34" spans="1:9" x14ac:dyDescent="0.25">
      <c r="A34" s="106"/>
      <c r="B34" s="118"/>
      <c r="C34" s="118"/>
      <c r="D34" s="113"/>
      <c r="E34" s="113"/>
      <c r="F34" s="113"/>
      <c r="G34" s="113"/>
      <c r="H34" s="113"/>
      <c r="I34" s="106"/>
    </row>
    <row r="35" spans="1:9" x14ac:dyDescent="0.25">
      <c r="A35" s="106"/>
      <c r="B35" s="113"/>
      <c r="C35" s="113"/>
      <c r="D35" s="113"/>
      <c r="E35" s="113"/>
      <c r="F35" s="113"/>
      <c r="G35" s="113"/>
      <c r="H35" s="113"/>
      <c r="I35" s="106"/>
    </row>
    <row r="36" spans="1:9" x14ac:dyDescent="0.25">
      <c r="A36" s="106"/>
      <c r="B36" s="118"/>
      <c r="C36" s="118"/>
      <c r="D36" s="113"/>
      <c r="E36" s="113"/>
      <c r="F36" s="113"/>
      <c r="G36" s="113"/>
      <c r="H36" s="113"/>
      <c r="I36" s="106"/>
    </row>
    <row r="37" spans="1:9" x14ac:dyDescent="0.25">
      <c r="A37" s="106"/>
      <c r="B37" s="113"/>
      <c r="C37" s="113"/>
      <c r="D37" s="113"/>
      <c r="E37" s="113"/>
      <c r="F37" s="113"/>
      <c r="G37" s="113"/>
      <c r="H37" s="113"/>
      <c r="I37" s="106"/>
    </row>
    <row r="38" spans="1:9" x14ac:dyDescent="0.25">
      <c r="A38" s="106"/>
      <c r="B38" s="118"/>
      <c r="C38" s="118"/>
      <c r="D38" s="113"/>
      <c r="E38" s="113"/>
      <c r="F38" s="113"/>
      <c r="G38" s="113"/>
      <c r="H38" s="113"/>
      <c r="I38" s="106"/>
    </row>
    <row r="39" spans="1:9" x14ac:dyDescent="0.25">
      <c r="A39" s="106"/>
      <c r="B39" s="113"/>
      <c r="C39" s="113"/>
      <c r="D39" s="113"/>
      <c r="E39" s="113"/>
      <c r="F39" s="113"/>
      <c r="G39" s="113"/>
      <c r="H39" s="113"/>
      <c r="I39" s="106"/>
    </row>
    <row r="40" spans="1:9" x14ac:dyDescent="0.25">
      <c r="A40" s="106"/>
      <c r="B40" s="118"/>
      <c r="C40" s="118"/>
      <c r="D40" s="113"/>
      <c r="E40" s="113"/>
      <c r="F40" s="113"/>
      <c r="G40" s="113"/>
      <c r="H40" s="113"/>
      <c r="I40" s="106"/>
    </row>
    <row r="41" spans="1:9" x14ac:dyDescent="0.25">
      <c r="A41" s="106"/>
      <c r="B41" s="113"/>
      <c r="C41" s="113"/>
      <c r="D41" s="113"/>
      <c r="E41" s="113"/>
      <c r="F41" s="113"/>
      <c r="G41" s="113"/>
      <c r="H41" s="113"/>
      <c r="I41" s="106"/>
    </row>
    <row r="42" spans="1:9" x14ac:dyDescent="0.25">
      <c r="A42" s="106"/>
      <c r="B42" s="118"/>
      <c r="C42" s="118"/>
      <c r="D42" s="113"/>
      <c r="E42" s="113"/>
      <c r="F42" s="113"/>
      <c r="G42" s="113"/>
      <c r="H42" s="113"/>
      <c r="I42" s="106"/>
    </row>
    <row r="43" spans="1:9" x14ac:dyDescent="0.25">
      <c r="A43" s="106"/>
      <c r="B43" s="113"/>
      <c r="C43" s="113"/>
      <c r="D43" s="113"/>
      <c r="E43" s="113"/>
      <c r="F43" s="113"/>
      <c r="G43" s="113"/>
      <c r="H43" s="113"/>
      <c r="I43" s="106"/>
    </row>
    <row r="44" spans="1:9" x14ac:dyDescent="0.25">
      <c r="A44" s="106"/>
      <c r="B44" s="118"/>
      <c r="C44" s="118"/>
      <c r="D44" s="113"/>
      <c r="E44" s="113"/>
      <c r="F44" s="113"/>
      <c r="G44" s="113"/>
      <c r="H44" s="113"/>
      <c r="I44" s="106"/>
    </row>
    <row r="45" spans="1:9" x14ac:dyDescent="0.25">
      <c r="A45" s="106"/>
      <c r="B45" s="113"/>
      <c r="C45" s="113"/>
      <c r="D45" s="113"/>
      <c r="E45" s="113"/>
      <c r="F45" s="113"/>
      <c r="G45" s="113"/>
      <c r="H45" s="113"/>
      <c r="I45" s="106"/>
    </row>
    <row r="46" spans="1:9" x14ac:dyDescent="0.25">
      <c r="A46" s="106"/>
      <c r="B46" s="118"/>
      <c r="C46" s="118"/>
      <c r="D46" s="113"/>
      <c r="E46" s="113"/>
      <c r="F46" s="113"/>
      <c r="G46" s="113"/>
      <c r="H46" s="113"/>
      <c r="I46" s="106"/>
    </row>
    <row r="47" spans="1:9" x14ac:dyDescent="0.25">
      <c r="A47" s="106"/>
      <c r="B47" s="113"/>
      <c r="C47" s="113"/>
      <c r="D47" s="113"/>
      <c r="E47" s="113"/>
      <c r="F47" s="113"/>
      <c r="G47" s="113"/>
      <c r="H47" s="113"/>
      <c r="I47" s="106"/>
    </row>
    <row r="48" spans="1:9" x14ac:dyDescent="0.25">
      <c r="A48" s="106"/>
      <c r="B48" s="118"/>
      <c r="C48" s="118"/>
      <c r="D48" s="113"/>
      <c r="E48" s="113"/>
      <c r="F48" s="113"/>
      <c r="G48" s="113"/>
      <c r="H48" s="113"/>
      <c r="I48" s="106"/>
    </row>
    <row r="49" spans="1:9" x14ac:dyDescent="0.25">
      <c r="A49" s="106"/>
      <c r="B49" s="113"/>
      <c r="C49" s="113"/>
      <c r="D49" s="113"/>
      <c r="E49" s="113"/>
      <c r="F49" s="113"/>
      <c r="G49" s="113"/>
      <c r="H49" s="113"/>
      <c r="I49" s="106"/>
    </row>
    <row r="50" spans="1:9" x14ac:dyDescent="0.25">
      <c r="A50" s="106"/>
      <c r="B50" s="118"/>
      <c r="C50" s="118"/>
      <c r="D50" s="113"/>
      <c r="E50" s="113"/>
      <c r="F50" s="113"/>
      <c r="G50" s="113"/>
      <c r="H50" s="113"/>
      <c r="I50" s="106"/>
    </row>
    <row r="51" spans="1:9" x14ac:dyDescent="0.25">
      <c r="A51" s="106"/>
      <c r="B51" s="113"/>
      <c r="C51" s="113"/>
      <c r="D51" s="113"/>
      <c r="E51" s="113"/>
      <c r="F51" s="113"/>
      <c r="G51" s="113"/>
      <c r="H51" s="113"/>
      <c r="I51" s="106"/>
    </row>
    <row r="52" spans="1:9" x14ac:dyDescent="0.25">
      <c r="A52" s="106"/>
      <c r="B52" s="118"/>
      <c r="C52" s="118"/>
      <c r="D52" s="113"/>
      <c r="E52" s="113"/>
      <c r="F52" s="113"/>
      <c r="G52" s="113"/>
      <c r="H52" s="113"/>
      <c r="I52" s="106"/>
    </row>
    <row r="53" spans="1:9" x14ac:dyDescent="0.25">
      <c r="A53" s="106"/>
      <c r="B53" s="113"/>
      <c r="C53" s="113"/>
      <c r="D53" s="113"/>
      <c r="E53" s="113"/>
      <c r="F53" s="113"/>
      <c r="G53" s="113"/>
      <c r="H53" s="113"/>
      <c r="I53" s="106"/>
    </row>
    <row r="54" spans="1:9" x14ac:dyDescent="0.25">
      <c r="A54" s="106"/>
      <c r="B54" s="118"/>
      <c r="C54" s="118"/>
      <c r="D54" s="113"/>
      <c r="E54" s="113"/>
      <c r="F54" s="113"/>
      <c r="G54" s="113"/>
      <c r="H54" s="113"/>
      <c r="I54" s="106"/>
    </row>
    <row r="55" spans="1:9" x14ac:dyDescent="0.25">
      <c r="A55" s="106"/>
      <c r="B55" s="113"/>
      <c r="C55" s="113"/>
      <c r="D55" s="113"/>
      <c r="E55" s="113"/>
      <c r="F55" s="113"/>
      <c r="G55" s="113"/>
      <c r="H55" s="113"/>
      <c r="I55" s="106"/>
    </row>
    <row r="56" spans="1:9" x14ac:dyDescent="0.25">
      <c r="A56" s="106"/>
      <c r="B56" s="118"/>
      <c r="C56" s="118"/>
      <c r="D56" s="113"/>
      <c r="E56" s="113"/>
      <c r="F56" s="113"/>
      <c r="G56" s="113"/>
      <c r="H56" s="113"/>
      <c r="I56" s="106"/>
    </row>
    <row r="57" spans="1:9" x14ac:dyDescent="0.25">
      <c r="A57" s="106"/>
      <c r="B57" s="113"/>
      <c r="C57" s="113"/>
      <c r="D57" s="113"/>
      <c r="E57" s="113"/>
      <c r="F57" s="113"/>
      <c r="G57" s="113"/>
      <c r="H57" s="113"/>
      <c r="I57" s="106"/>
    </row>
    <row r="58" spans="1:9" x14ac:dyDescent="0.25">
      <c r="A58" s="106"/>
      <c r="B58" s="118"/>
      <c r="C58" s="118"/>
      <c r="D58" s="113"/>
      <c r="E58" s="113"/>
      <c r="F58" s="113"/>
      <c r="G58" s="113"/>
      <c r="H58" s="113"/>
      <c r="I58" s="106"/>
    </row>
    <row r="59" spans="1:9" x14ac:dyDescent="0.25">
      <c r="A59" s="106"/>
      <c r="B59" s="113"/>
      <c r="C59" s="113"/>
      <c r="D59" s="113"/>
      <c r="E59" s="113"/>
      <c r="F59" s="113"/>
      <c r="G59" s="113"/>
      <c r="H59" s="113"/>
      <c r="I59" s="106"/>
    </row>
    <row r="60" spans="1:9" x14ac:dyDescent="0.25">
      <c r="A60" s="106"/>
      <c r="B60" s="118"/>
      <c r="C60" s="118"/>
      <c r="D60" s="113"/>
      <c r="E60" s="113"/>
      <c r="F60" s="113"/>
      <c r="G60" s="113"/>
      <c r="H60" s="113"/>
      <c r="I60" s="106"/>
    </row>
    <row r="61" spans="1:9" x14ac:dyDescent="0.25">
      <c r="A61" s="106"/>
      <c r="B61" s="113"/>
      <c r="C61" s="113"/>
      <c r="D61" s="113"/>
      <c r="E61" s="113"/>
      <c r="F61" s="113"/>
      <c r="G61" s="113"/>
      <c r="H61" s="113"/>
      <c r="I61" s="106"/>
    </row>
    <row r="62" spans="1:9" x14ac:dyDescent="0.25">
      <c r="A62" s="106"/>
      <c r="B62" s="118"/>
      <c r="C62" s="118"/>
      <c r="D62" s="113"/>
      <c r="E62" s="113"/>
      <c r="F62" s="113"/>
      <c r="G62" s="113"/>
      <c r="H62" s="113"/>
      <c r="I62" s="106"/>
    </row>
    <row r="63" spans="1:9" x14ac:dyDescent="0.25">
      <c r="A63" s="106"/>
      <c r="B63" s="113"/>
      <c r="C63" s="113"/>
      <c r="D63" s="113"/>
      <c r="E63" s="113"/>
      <c r="F63" s="113"/>
      <c r="G63" s="113"/>
      <c r="H63" s="113"/>
      <c r="I63" s="106"/>
    </row>
    <row r="64" spans="1:9" x14ac:dyDescent="0.25">
      <c r="A64" s="106"/>
      <c r="B64" s="118"/>
      <c r="C64" s="118"/>
      <c r="D64" s="113"/>
      <c r="E64" s="113"/>
      <c r="F64" s="113"/>
      <c r="G64" s="113"/>
      <c r="H64" s="113"/>
      <c r="I64" s="106"/>
    </row>
    <row r="65" spans="1:9" x14ac:dyDescent="0.25">
      <c r="A65" s="106"/>
      <c r="B65" s="113"/>
      <c r="C65" s="113"/>
      <c r="D65" s="113"/>
      <c r="E65" s="113"/>
      <c r="F65" s="113"/>
      <c r="G65" s="113"/>
      <c r="H65" s="113"/>
      <c r="I65" s="106"/>
    </row>
    <row r="66" spans="1:9" x14ac:dyDescent="0.25">
      <c r="A66" s="106"/>
      <c r="B66" s="118"/>
      <c r="C66" s="118"/>
      <c r="D66" s="113"/>
      <c r="E66" s="113"/>
      <c r="F66" s="113"/>
      <c r="G66" s="113"/>
      <c r="H66" s="113"/>
      <c r="I66" s="106"/>
    </row>
    <row r="67" spans="1:9" x14ac:dyDescent="0.25">
      <c r="A67" s="106"/>
      <c r="B67" s="113"/>
      <c r="C67" s="113"/>
      <c r="D67" s="113"/>
      <c r="E67" s="113"/>
      <c r="F67" s="113"/>
      <c r="G67" s="113"/>
      <c r="H67" s="113"/>
      <c r="I67" s="106"/>
    </row>
    <row r="68" spans="1:9" x14ac:dyDescent="0.25">
      <c r="A68" s="106"/>
      <c r="B68" s="118"/>
      <c r="C68" s="118"/>
      <c r="D68" s="113"/>
      <c r="E68" s="113"/>
      <c r="F68" s="113"/>
      <c r="G68" s="113"/>
      <c r="H68" s="113"/>
      <c r="I68" s="106"/>
    </row>
    <row r="69" spans="1:9" x14ac:dyDescent="0.25">
      <c r="A69" s="106"/>
      <c r="B69" s="113"/>
      <c r="C69" s="113"/>
      <c r="D69" s="113"/>
      <c r="E69" s="113"/>
      <c r="F69" s="113"/>
      <c r="G69" s="113"/>
      <c r="H69" s="113"/>
      <c r="I69" s="106"/>
    </row>
    <row r="70" spans="1:9" x14ac:dyDescent="0.25">
      <c r="A70" s="106"/>
      <c r="B70" s="118"/>
      <c r="C70" s="118"/>
      <c r="D70" s="113"/>
      <c r="E70" s="113"/>
      <c r="F70" s="113"/>
      <c r="G70" s="113"/>
      <c r="H70" s="113"/>
      <c r="I70" s="106"/>
    </row>
    <row r="71" spans="1:9" x14ac:dyDescent="0.25">
      <c r="A71" s="106"/>
      <c r="B71" s="113"/>
      <c r="C71" s="113"/>
      <c r="D71" s="113"/>
      <c r="E71" s="113"/>
      <c r="F71" s="113"/>
      <c r="G71" s="113"/>
      <c r="H71" s="113"/>
      <c r="I71" s="106"/>
    </row>
    <row r="72" spans="1:9" x14ac:dyDescent="0.25">
      <c r="A72" s="106"/>
      <c r="B72" s="118"/>
      <c r="C72" s="118"/>
      <c r="D72" s="113"/>
      <c r="E72" s="113"/>
      <c r="F72" s="113"/>
      <c r="G72" s="113"/>
      <c r="H72" s="113"/>
      <c r="I72" s="106"/>
    </row>
    <row r="73" spans="1:9" x14ac:dyDescent="0.25">
      <c r="A73" s="106"/>
      <c r="B73" s="113"/>
      <c r="C73" s="113"/>
      <c r="D73" s="113"/>
      <c r="E73" s="113"/>
      <c r="F73" s="113"/>
      <c r="G73" s="113"/>
      <c r="H73" s="113"/>
      <c r="I73" s="106"/>
    </row>
    <row r="74" spans="1:9" x14ac:dyDescent="0.25">
      <c r="A74" s="106"/>
      <c r="B74" s="118"/>
      <c r="C74" s="118"/>
      <c r="D74" s="113"/>
      <c r="E74" s="113"/>
      <c r="F74" s="113"/>
      <c r="G74" s="113"/>
      <c r="H74" s="113"/>
      <c r="I74" s="106"/>
    </row>
    <row r="75" spans="1:9" x14ac:dyDescent="0.25">
      <c r="A75" s="106"/>
      <c r="B75" s="113"/>
      <c r="C75" s="113"/>
      <c r="D75" s="113"/>
      <c r="E75" s="113"/>
      <c r="F75" s="113"/>
      <c r="G75" s="113"/>
      <c r="H75" s="113"/>
      <c r="I75" s="106"/>
    </row>
    <row r="76" spans="1:9" x14ac:dyDescent="0.25">
      <c r="A76" s="106"/>
      <c r="B76" s="118"/>
      <c r="C76" s="118"/>
      <c r="D76" s="113"/>
      <c r="E76" s="113"/>
      <c r="F76" s="113"/>
      <c r="G76" s="113"/>
      <c r="H76" s="113"/>
      <c r="I76" s="106"/>
    </row>
    <row r="77" spans="1:9" x14ac:dyDescent="0.25">
      <c r="A77" s="106"/>
      <c r="B77" s="113"/>
      <c r="C77" s="113"/>
      <c r="D77" s="113"/>
      <c r="E77" s="113"/>
      <c r="F77" s="113"/>
      <c r="G77" s="113"/>
      <c r="H77" s="113"/>
      <c r="I77" s="106"/>
    </row>
    <row r="78" spans="1:9" x14ac:dyDescent="0.25">
      <c r="A78" s="106"/>
      <c r="B78" s="118"/>
      <c r="C78" s="118"/>
      <c r="D78" s="113"/>
      <c r="E78" s="113"/>
      <c r="F78" s="113"/>
      <c r="G78" s="113"/>
      <c r="H78" s="113"/>
      <c r="I78" s="106"/>
    </row>
    <row r="79" spans="1:9" x14ac:dyDescent="0.25">
      <c r="A79" s="106"/>
      <c r="B79" s="113"/>
      <c r="C79" s="113"/>
      <c r="D79" s="113"/>
      <c r="E79" s="113"/>
      <c r="F79" s="113"/>
      <c r="G79" s="113"/>
      <c r="H79" s="113"/>
      <c r="I79" s="106"/>
    </row>
    <row r="80" spans="1:9" x14ac:dyDescent="0.25">
      <c r="A80" s="106"/>
      <c r="B80" s="118"/>
      <c r="C80" s="118"/>
      <c r="D80" s="113"/>
      <c r="E80" s="113"/>
      <c r="F80" s="113"/>
      <c r="G80" s="113"/>
      <c r="H80" s="113"/>
      <c r="I80" s="106"/>
    </row>
    <row r="81" spans="1:9" x14ac:dyDescent="0.25">
      <c r="A81" s="106"/>
      <c r="B81" s="113"/>
      <c r="C81" s="113"/>
      <c r="D81" s="113"/>
      <c r="E81" s="113"/>
      <c r="F81" s="113"/>
      <c r="G81" s="113"/>
      <c r="H81" s="113"/>
      <c r="I81" s="106"/>
    </row>
    <row r="82" spans="1:9" x14ac:dyDescent="0.25">
      <c r="A82" s="106"/>
      <c r="B82" s="118"/>
      <c r="C82" s="118"/>
      <c r="D82" s="113"/>
      <c r="E82" s="113"/>
      <c r="F82" s="113"/>
      <c r="G82" s="113"/>
      <c r="H82" s="113"/>
      <c r="I82" s="106"/>
    </row>
    <row r="83" spans="1:9" x14ac:dyDescent="0.25">
      <c r="A83" s="106"/>
      <c r="B83" s="113"/>
      <c r="C83" s="113"/>
      <c r="D83" s="113"/>
      <c r="E83" s="113"/>
      <c r="F83" s="113"/>
      <c r="G83" s="113"/>
      <c r="H83" s="113"/>
      <c r="I83" s="106"/>
    </row>
    <row r="84" spans="1:9" x14ac:dyDescent="0.25">
      <c r="A84" s="106"/>
      <c r="B84" s="118"/>
      <c r="C84" s="118"/>
      <c r="D84" s="113"/>
      <c r="E84" s="113"/>
      <c r="F84" s="113"/>
      <c r="G84" s="113"/>
      <c r="H84" s="113"/>
      <c r="I84" s="106"/>
    </row>
    <row r="85" spans="1:9" x14ac:dyDescent="0.25">
      <c r="A85" s="106"/>
      <c r="B85" s="113"/>
      <c r="C85" s="113"/>
      <c r="D85" s="113"/>
      <c r="E85" s="113"/>
      <c r="F85" s="113"/>
      <c r="G85" s="113"/>
      <c r="H85" s="113"/>
      <c r="I85" s="106"/>
    </row>
    <row r="86" spans="1:9" x14ac:dyDescent="0.25">
      <c r="A86" s="106"/>
      <c r="B86" s="118"/>
      <c r="C86" s="118"/>
      <c r="D86" s="113"/>
      <c r="E86" s="113"/>
      <c r="F86" s="113"/>
      <c r="G86" s="113"/>
      <c r="H86" s="113"/>
      <c r="I86" s="106"/>
    </row>
    <row r="87" spans="1:9" x14ac:dyDescent="0.25">
      <c r="A87" s="106"/>
      <c r="B87" s="113"/>
      <c r="C87" s="113"/>
      <c r="D87" s="113"/>
      <c r="E87" s="113"/>
      <c r="F87" s="113"/>
      <c r="G87" s="113"/>
      <c r="H87" s="113"/>
      <c r="I87" s="106"/>
    </row>
    <row r="88" spans="1:9" x14ac:dyDescent="0.25">
      <c r="A88" s="106"/>
      <c r="B88" s="118"/>
      <c r="C88" s="118"/>
      <c r="D88" s="113"/>
      <c r="E88" s="113"/>
      <c r="F88" s="113"/>
      <c r="G88" s="113"/>
      <c r="H88" s="113"/>
      <c r="I88" s="106"/>
    </row>
    <row r="89" spans="1:9" x14ac:dyDescent="0.25">
      <c r="A89" s="106"/>
      <c r="B89" s="113"/>
      <c r="C89" s="113"/>
      <c r="D89" s="113"/>
      <c r="E89" s="113"/>
      <c r="F89" s="113"/>
      <c r="G89" s="113"/>
      <c r="H89" s="113"/>
      <c r="I89" s="106"/>
    </row>
    <row r="90" spans="1:9" x14ac:dyDescent="0.25">
      <c r="A90" s="106"/>
      <c r="B90" s="118"/>
      <c r="C90" s="118"/>
      <c r="D90" s="113"/>
      <c r="E90" s="113"/>
      <c r="F90" s="113"/>
      <c r="G90" s="113"/>
      <c r="H90" s="113"/>
      <c r="I90" s="106"/>
    </row>
    <row r="91" spans="1:9" x14ac:dyDescent="0.25">
      <c r="A91" s="106"/>
      <c r="B91" s="113"/>
      <c r="C91" s="113"/>
      <c r="D91" s="113"/>
      <c r="E91" s="113"/>
      <c r="F91" s="113"/>
      <c r="G91" s="113"/>
      <c r="H91" s="113"/>
      <c r="I91" s="106"/>
    </row>
    <row r="92" spans="1:9" x14ac:dyDescent="0.25">
      <c r="A92" s="106"/>
      <c r="B92" s="118"/>
      <c r="C92" s="118"/>
      <c r="D92" s="113"/>
      <c r="E92" s="113"/>
      <c r="F92" s="113"/>
      <c r="G92" s="113"/>
      <c r="H92" s="113"/>
      <c r="I92" s="106"/>
    </row>
    <row r="93" spans="1:9" x14ac:dyDescent="0.25">
      <c r="A93" s="106"/>
      <c r="B93" s="113"/>
      <c r="C93" s="113"/>
      <c r="D93" s="113"/>
      <c r="E93" s="113"/>
      <c r="F93" s="113"/>
      <c r="G93" s="113"/>
      <c r="H93" s="113"/>
      <c r="I93" s="106"/>
    </row>
    <row r="94" spans="1:9" x14ac:dyDescent="0.25">
      <c r="A94" s="106"/>
      <c r="B94" s="118"/>
      <c r="C94" s="118"/>
      <c r="D94" s="113"/>
      <c r="E94" s="113"/>
      <c r="F94" s="113"/>
      <c r="G94" s="113"/>
      <c r="H94" s="113"/>
      <c r="I94" s="106"/>
    </row>
    <row r="95" spans="1:9" x14ac:dyDescent="0.25">
      <c r="A95" s="106"/>
      <c r="B95" s="113"/>
      <c r="C95" s="113"/>
      <c r="D95" s="113"/>
      <c r="E95" s="113"/>
      <c r="F95" s="113"/>
      <c r="G95" s="113"/>
      <c r="H95" s="113"/>
      <c r="I95" s="106"/>
    </row>
    <row r="96" spans="1:9" x14ac:dyDescent="0.25">
      <c r="A96" s="106"/>
      <c r="B96" s="118"/>
      <c r="C96" s="118"/>
      <c r="D96" s="113"/>
      <c r="E96" s="113"/>
      <c r="F96" s="113"/>
      <c r="G96" s="113"/>
      <c r="H96" s="113"/>
      <c r="I96" s="106"/>
    </row>
    <row r="97" spans="1:9" x14ac:dyDescent="0.25">
      <c r="A97" s="106"/>
      <c r="B97" s="113"/>
      <c r="C97" s="113"/>
      <c r="D97" s="113"/>
      <c r="E97" s="113"/>
      <c r="F97" s="113"/>
      <c r="G97" s="113"/>
      <c r="H97" s="113"/>
      <c r="I97" s="106"/>
    </row>
    <row r="98" spans="1:9" x14ac:dyDescent="0.25">
      <c r="A98" s="106"/>
      <c r="B98" s="118"/>
      <c r="C98" s="118"/>
      <c r="D98" s="113"/>
      <c r="E98" s="113"/>
      <c r="F98" s="113"/>
      <c r="G98" s="113"/>
      <c r="H98" s="113"/>
      <c r="I98" s="106"/>
    </row>
    <row r="99" spans="1:9" x14ac:dyDescent="0.25">
      <c r="A99" s="106"/>
      <c r="B99" s="113"/>
      <c r="C99" s="113"/>
      <c r="D99" s="113"/>
      <c r="E99" s="113"/>
      <c r="F99" s="113"/>
      <c r="G99" s="113"/>
      <c r="H99" s="113"/>
      <c r="I99" s="106"/>
    </row>
    <row r="100" spans="1:9" x14ac:dyDescent="0.25">
      <c r="A100" s="106"/>
      <c r="B100" s="118"/>
      <c r="C100" s="118"/>
      <c r="D100" s="113"/>
      <c r="E100" s="113"/>
      <c r="F100" s="113"/>
      <c r="G100" s="113"/>
      <c r="H100" s="113"/>
      <c r="I100" s="106"/>
    </row>
    <row r="101" spans="1:9" x14ac:dyDescent="0.25">
      <c r="A101" s="106"/>
      <c r="B101" s="119"/>
      <c r="C101" s="119"/>
      <c r="D101" s="119"/>
      <c r="E101" s="119"/>
      <c r="F101" s="119"/>
      <c r="G101" s="119"/>
      <c r="H101" s="119"/>
      <c r="I101" s="106"/>
    </row>
    <row r="102" spans="1:9" x14ac:dyDescent="0.25">
      <c r="A102" s="106"/>
      <c r="B102" s="120"/>
      <c r="C102" s="120"/>
      <c r="D102" s="119"/>
      <c r="E102" s="119"/>
      <c r="F102" s="119"/>
      <c r="G102" s="119"/>
      <c r="H102" s="119"/>
      <c r="I102" s="106"/>
    </row>
    <row r="103" spans="1:9" x14ac:dyDescent="0.25">
      <c r="A103" s="106"/>
      <c r="B103" s="119"/>
      <c r="C103" s="119"/>
      <c r="D103" s="119"/>
      <c r="E103" s="119"/>
      <c r="F103" s="119"/>
      <c r="G103" s="119"/>
      <c r="H103" s="119"/>
      <c r="I103" s="106"/>
    </row>
  </sheetData>
  <mergeCells count="15">
    <mergeCell ref="B31:C31"/>
    <mergeCell ref="B17:C17"/>
    <mergeCell ref="B9:C9"/>
    <mergeCell ref="B2:D2"/>
    <mergeCell ref="B25:C25"/>
    <mergeCell ref="B29:C29"/>
    <mergeCell ref="B5:C5"/>
    <mergeCell ref="B19:C19"/>
    <mergeCell ref="B27:C27"/>
    <mergeCell ref="B23:C23"/>
    <mergeCell ref="B13:C13"/>
    <mergeCell ref="B21:C21"/>
    <mergeCell ref="B15:C15"/>
    <mergeCell ref="B7:C7"/>
    <mergeCell ref="B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📋 Estimation Dashboard</vt:lpstr>
      <vt:lpstr>⚙️ Config</vt:lpstr>
      <vt:lpstr>📊 PERT Estimation</vt:lpstr>
      <vt:lpstr>🔺 Three-Point</vt:lpstr>
      <vt:lpstr>🃏 Story Points</vt:lpstr>
      <vt:lpstr>🔍 Analogy</vt:lpstr>
      <vt:lpstr>📐 UCP</vt:lpstr>
      <vt:lpstr>📝 Test Planning</vt:lpstr>
      <vt:lpstr>💰 Budget Planner</vt:lpstr>
      <vt:lpstr>📅 Sprint Resource Plan</vt:lpstr>
      <vt:lpstr>📖 How to Use</vt:lpstr>
      <vt:lpstr>'📋 Estimation Dashboard'!Print_Area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Vishvambruth Javagal</cp:lastModifiedBy>
  <dcterms:created xsi:type="dcterms:W3CDTF">2026-05-25T10:55:21Z</dcterms:created>
  <dcterms:modified xsi:type="dcterms:W3CDTF">2026-05-26T18:38:50Z</dcterms:modified>
</cp:coreProperties>
</file>