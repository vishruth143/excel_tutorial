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xcel_tutorial\"/>
    </mc:Choice>
  </mc:AlternateContent>
  <xr:revisionPtr revIDLastSave="0" documentId="13_ncr:1_{009032CF-E4E0-4462-B1A0-B734D4DB65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📋 Estimation Dashboard" sheetId="1" r:id="rId1"/>
    <sheet name="⚙️ Config" sheetId="2" r:id="rId2"/>
    <sheet name="📊 PERT Estimation" sheetId="3" r:id="rId3"/>
    <sheet name="🔺 Three-Point" sheetId="4" r:id="rId4"/>
    <sheet name="🃏 Story Points" sheetId="5" r:id="rId5"/>
    <sheet name="🔍 Analogy" sheetId="6" r:id="rId6"/>
    <sheet name="📐 UCP" sheetId="7" r:id="rId7"/>
    <sheet name="📝 Test Planning" sheetId="8" r:id="rId8"/>
    <sheet name="💰 Budget Planner" sheetId="9" r:id="rId9"/>
    <sheet name="📅 Sprint Resource Plan" sheetId="10" r:id="rId10"/>
    <sheet name="📖 How to Use" sheetId="11" r:id="rId11"/>
  </sheets>
  <definedNames>
    <definedName name="_xlnm.Print_Area" localSheetId="0">'📋 Estimation Dashboard'!$A$1:$O$35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0" l="1"/>
  <c r="B13" i="1"/>
  <c r="B7" i="1"/>
  <c r="I18" i="4"/>
  <c r="H33" i="5"/>
  <c r="C14" i="10"/>
  <c r="C13" i="10"/>
  <c r="C12" i="10"/>
  <c r="E12" i="10" s="1"/>
  <c r="C11" i="10"/>
  <c r="C10" i="10"/>
  <c r="C9" i="10"/>
  <c r="E9" i="10" s="1"/>
  <c r="C8" i="10"/>
  <c r="E8" i="10" s="1"/>
  <c r="C7" i="10"/>
  <c r="J15" i="10"/>
  <c r="H15" i="10"/>
  <c r="D15" i="10"/>
  <c r="F14" i="10"/>
  <c r="F13" i="10"/>
  <c r="F12" i="10"/>
  <c r="F11" i="10"/>
  <c r="F10" i="10"/>
  <c r="F9" i="10"/>
  <c r="F8" i="10"/>
  <c r="E14" i="10"/>
  <c r="E13" i="10"/>
  <c r="E11" i="10"/>
  <c r="F30" i="1"/>
  <c r="E10" i="10"/>
  <c r="I24" i="1"/>
  <c r="F21" i="1"/>
  <c r="D21" i="1"/>
  <c r="F19" i="1"/>
  <c r="D19" i="1"/>
  <c r="G18" i="1"/>
  <c r="F18" i="1"/>
  <c r="E18" i="1"/>
  <c r="D18" i="1"/>
  <c r="C18" i="1"/>
  <c r="H17" i="1"/>
  <c r="G17" i="1"/>
  <c r="F17" i="1"/>
  <c r="E17" i="1"/>
  <c r="D17" i="1"/>
  <c r="C17" i="1"/>
  <c r="I13" i="1"/>
  <c r="B10" i="1"/>
  <c r="H22" i="4"/>
  <c r="G22" i="4"/>
  <c r="F22" i="4"/>
  <c r="E22" i="4"/>
  <c r="D22" i="4"/>
  <c r="C22" i="4"/>
  <c r="H18" i="4"/>
  <c r="G18" i="4"/>
  <c r="F18" i="4"/>
  <c r="C34" i="7"/>
  <c r="C32" i="7"/>
  <c r="G27" i="7"/>
  <c r="G16" i="7"/>
  <c r="G7" i="9"/>
  <c r="G8" i="9"/>
  <c r="G9" i="9"/>
  <c r="G10" i="9"/>
  <c r="G11" i="9"/>
  <c r="D11" i="9"/>
  <c r="D10" i="9"/>
  <c r="D9" i="9"/>
  <c r="D8" i="9"/>
  <c r="D7" i="9"/>
  <c r="F33" i="5"/>
  <c r="F22" i="5"/>
  <c r="C7" i="5"/>
  <c r="C14" i="2"/>
  <c r="I10" i="1" s="1"/>
  <c r="I15" i="10"/>
  <c r="K14" i="10"/>
  <c r="K13" i="10"/>
  <c r="K12" i="10"/>
  <c r="K11" i="10"/>
  <c r="K10" i="10"/>
  <c r="K9" i="10"/>
  <c r="K8" i="10"/>
  <c r="K7" i="10"/>
  <c r="M34" i="9"/>
  <c r="G23" i="9"/>
  <c r="G22" i="9"/>
  <c r="G21" i="9"/>
  <c r="G20" i="9"/>
  <c r="G19" i="9"/>
  <c r="G18" i="9"/>
  <c r="G17" i="9"/>
  <c r="G16" i="9"/>
  <c r="C11" i="9"/>
  <c r="B11" i="9"/>
  <c r="C10" i="9"/>
  <c r="B10" i="9"/>
  <c r="C9" i="9"/>
  <c r="B9" i="9"/>
  <c r="C8" i="9"/>
  <c r="B8" i="9"/>
  <c r="C7" i="9"/>
  <c r="B7" i="9"/>
  <c r="C18" i="8"/>
  <c r="C17" i="8"/>
  <c r="C16" i="8"/>
  <c r="C19" i="8" s="1"/>
  <c r="C15" i="8"/>
  <c r="F4" i="8" s="1"/>
  <c r="F27" i="7"/>
  <c r="D27" i="7"/>
  <c r="G26" i="7"/>
  <c r="G25" i="7"/>
  <c r="G24" i="7"/>
  <c r="G23" i="7"/>
  <c r="G22" i="7"/>
  <c r="G21" i="7"/>
  <c r="G20" i="7"/>
  <c r="G19" i="7"/>
  <c r="G18" i="7"/>
  <c r="G17" i="7"/>
  <c r="G15" i="7"/>
  <c r="G14" i="7"/>
  <c r="G13" i="7"/>
  <c r="E14" i="6"/>
  <c r="F14" i="6" s="1"/>
  <c r="H20" i="1" s="1"/>
  <c r="E12" i="6"/>
  <c r="E11" i="6"/>
  <c r="E10" i="6"/>
  <c r="E9" i="6"/>
  <c r="E8" i="6"/>
  <c r="E7" i="6"/>
  <c r="G33" i="5"/>
  <c r="C33" i="5"/>
  <c r="F32" i="5"/>
  <c r="H32" i="5" s="1"/>
  <c r="F31" i="5"/>
  <c r="H31" i="5" s="1"/>
  <c r="F30" i="5"/>
  <c r="H30" i="5" s="1"/>
  <c r="H29" i="5"/>
  <c r="F29" i="5"/>
  <c r="F28" i="5"/>
  <c r="H28" i="5" s="1"/>
  <c r="F27" i="5"/>
  <c r="H27" i="5" s="1"/>
  <c r="F26" i="5"/>
  <c r="H26" i="5" s="1"/>
  <c r="H25" i="5"/>
  <c r="F25" i="5"/>
  <c r="F24" i="5"/>
  <c r="H24" i="5" s="1"/>
  <c r="F23" i="5"/>
  <c r="H23" i="5" s="1"/>
  <c r="F21" i="5"/>
  <c r="H21" i="5" s="1"/>
  <c r="H20" i="5"/>
  <c r="F20" i="5"/>
  <c r="H19" i="5"/>
  <c r="F19" i="5"/>
  <c r="H18" i="5"/>
  <c r="F18" i="5"/>
  <c r="F17" i="5"/>
  <c r="H17" i="5" s="1"/>
  <c r="H16" i="5"/>
  <c r="F16" i="5"/>
  <c r="H15" i="5"/>
  <c r="F15" i="5"/>
  <c r="H14" i="5"/>
  <c r="F14" i="5"/>
  <c r="F13" i="5"/>
  <c r="H21" i="4"/>
  <c r="G21" i="4"/>
  <c r="F21" i="4"/>
  <c r="I21" i="4" s="1"/>
  <c r="H20" i="4"/>
  <c r="G20" i="4"/>
  <c r="F20" i="4"/>
  <c r="I20" i="4" s="1"/>
  <c r="H19" i="4"/>
  <c r="G19" i="4"/>
  <c r="F19" i="4"/>
  <c r="I19" i="4" s="1"/>
  <c r="H17" i="4"/>
  <c r="G17" i="4"/>
  <c r="F17" i="4"/>
  <c r="I17" i="4" s="1"/>
  <c r="H16" i="4"/>
  <c r="G16" i="4"/>
  <c r="F16" i="4"/>
  <c r="I16" i="4" s="1"/>
  <c r="H15" i="4"/>
  <c r="G15" i="4"/>
  <c r="F15" i="4"/>
  <c r="I15" i="4" s="1"/>
  <c r="H14" i="4"/>
  <c r="G14" i="4"/>
  <c r="F14" i="4"/>
  <c r="I14" i="4" s="1"/>
  <c r="H13" i="4"/>
  <c r="G13" i="4"/>
  <c r="F13" i="4"/>
  <c r="I13" i="4" s="1"/>
  <c r="H12" i="4"/>
  <c r="G12" i="4"/>
  <c r="F12" i="4"/>
  <c r="I12" i="4" s="1"/>
  <c r="H11" i="4"/>
  <c r="G11" i="4"/>
  <c r="F11" i="4"/>
  <c r="I11" i="4" s="1"/>
  <c r="H10" i="4"/>
  <c r="G10" i="4"/>
  <c r="F10" i="4"/>
  <c r="I10" i="4" s="1"/>
  <c r="H9" i="4"/>
  <c r="G9" i="4"/>
  <c r="F9" i="4"/>
  <c r="I9" i="4" s="1"/>
  <c r="H8" i="4"/>
  <c r="G8" i="4"/>
  <c r="F8" i="4"/>
  <c r="I8" i="4" s="1"/>
  <c r="H7" i="4"/>
  <c r="G7" i="4"/>
  <c r="F7" i="4"/>
  <c r="I7" i="4" s="1"/>
  <c r="G20" i="3"/>
  <c r="E20" i="3"/>
  <c r="D20" i="3"/>
  <c r="C20" i="3"/>
  <c r="G19" i="3"/>
  <c r="F19" i="3"/>
  <c r="H19" i="3" s="1"/>
  <c r="I18" i="3"/>
  <c r="G18" i="3"/>
  <c r="F18" i="3"/>
  <c r="H18" i="3" s="1"/>
  <c r="G17" i="3"/>
  <c r="F17" i="3"/>
  <c r="H17" i="3" s="1"/>
  <c r="I16" i="3"/>
  <c r="G16" i="3"/>
  <c r="F16" i="3"/>
  <c r="H16" i="3" s="1"/>
  <c r="G15" i="3"/>
  <c r="F15" i="3"/>
  <c r="H15" i="3" s="1"/>
  <c r="I14" i="3"/>
  <c r="G14" i="3"/>
  <c r="F14" i="3"/>
  <c r="H14" i="3" s="1"/>
  <c r="G13" i="3"/>
  <c r="F13" i="3"/>
  <c r="H13" i="3" s="1"/>
  <c r="I12" i="3"/>
  <c r="G12" i="3"/>
  <c r="F12" i="3"/>
  <c r="H12" i="3" s="1"/>
  <c r="G11" i="3"/>
  <c r="F11" i="3"/>
  <c r="H11" i="3" s="1"/>
  <c r="I10" i="3"/>
  <c r="G10" i="3"/>
  <c r="F10" i="3"/>
  <c r="H10" i="3" s="1"/>
  <c r="G9" i="3"/>
  <c r="F9" i="3"/>
  <c r="H9" i="3" s="1"/>
  <c r="I8" i="3"/>
  <c r="G8" i="3"/>
  <c r="F8" i="3"/>
  <c r="H8" i="3" s="1"/>
  <c r="F31" i="1"/>
  <c r="F29" i="1"/>
  <c r="F28" i="1"/>
  <c r="F27" i="1"/>
  <c r="F26" i="1"/>
  <c r="F25" i="1"/>
  <c r="F32" i="1" s="1"/>
  <c r="I28" i="1" s="1"/>
  <c r="B3" i="1"/>
  <c r="I30" i="1" l="1"/>
  <c r="D12" i="9"/>
  <c r="G12" i="9"/>
  <c r="E10" i="9"/>
  <c r="F10" i="9" s="1"/>
  <c r="H10" i="9" s="1"/>
  <c r="E9" i="9"/>
  <c r="F9" i="9" s="1"/>
  <c r="H9" i="9" s="1"/>
  <c r="E11" i="9"/>
  <c r="F11" i="9" s="1"/>
  <c r="H11" i="9" s="1"/>
  <c r="E8" i="9"/>
  <c r="F8" i="9" s="1"/>
  <c r="H8" i="9" s="1"/>
  <c r="E7" i="9"/>
  <c r="C15" i="10"/>
  <c r="E7" i="10"/>
  <c r="E15" i="10" s="1"/>
  <c r="C20" i="8"/>
  <c r="C21" i="8" s="1"/>
  <c r="G25" i="9"/>
  <c r="I9" i="3"/>
  <c r="I11" i="3"/>
  <c r="I13" i="3"/>
  <c r="I15" i="3"/>
  <c r="I17" i="3"/>
  <c r="I19" i="3"/>
  <c r="H13" i="5"/>
  <c r="F20" i="3"/>
  <c r="D20" i="1"/>
  <c r="F20" i="1"/>
  <c r="G24" i="9"/>
  <c r="I9" i="9" l="1"/>
  <c r="J9" i="9" s="1"/>
  <c r="I10" i="9"/>
  <c r="J10" i="9" s="1"/>
  <c r="I11" i="9"/>
  <c r="J11" i="9" s="1"/>
  <c r="I8" i="9"/>
  <c r="J8" i="9" s="1"/>
  <c r="F7" i="9"/>
  <c r="I20" i="3"/>
  <c r="H20" i="3"/>
  <c r="B24" i="3"/>
  <c r="D24" i="3"/>
  <c r="H7" i="9" l="1"/>
  <c r="F12" i="9"/>
  <c r="H24" i="3"/>
  <c r="F24" i="3"/>
  <c r="I22" i="5"/>
  <c r="H22" i="5"/>
  <c r="H12" i="9" l="1"/>
  <c r="I7" i="9"/>
  <c r="I12" i="9" s="1"/>
  <c r="H16" i="7"/>
  <c r="J7" i="9" l="1"/>
  <c r="J12" i="9" s="1"/>
  <c r="J27" i="9" s="1"/>
  <c r="J28" i="9" l="1"/>
  <c r="J30" i="9" s="1"/>
  <c r="I31" i="1" l="1"/>
  <c r="I7" i="1"/>
</calcChain>
</file>

<file path=xl/sharedStrings.xml><?xml version="1.0" encoding="utf-8"?>
<sst xmlns="http://schemas.openxmlformats.org/spreadsheetml/2006/main" count="487" uniqueCount="372">
  <si>
    <t>📐  QA RESOURCE &amp; BUDGET ESTIMATION DASHBOARD</t>
  </si>
  <si>
    <t>📌 Techniques Applied: PERT | Three-Point | Story Points | Analogy | Use Case Points</t>
  </si>
  <si>
    <t>⏱️ Total PERT Hours</t>
  </si>
  <si>
    <t>💰 Total QA Budget</t>
  </si>
  <si>
    <t>👥 QA Team Size</t>
  </si>
  <si>
    <t>📅 QA Duration (Wks)</t>
  </si>
  <si>
    <t>🎯 PERT Confidence</t>
  </si>
  <si>
    <t>📋 Est. Test Cases</t>
  </si>
  <si>
    <t>📊  ESTIMATION COMPARISON BY TECHNIQUE</t>
  </si>
  <si>
    <t>Technique</t>
  </si>
  <si>
    <t>Optimistic</t>
  </si>
  <si>
    <t>Most Likely</t>
  </si>
  <si>
    <t>Pessimistic</t>
  </si>
  <si>
    <t>PERT Est.</t>
  </si>
  <si>
    <t>Std Dev</t>
  </si>
  <si>
    <t>Confidence</t>
  </si>
  <si>
    <t>PERT (Phase-Level)</t>
  </si>
  <si>
    <t>Three-Point (Feature)</t>
  </si>
  <si>
    <t>Story Points (Agile)</t>
  </si>
  <si>
    <t>N/A</t>
  </si>
  <si>
    <t>Analogy-Based</t>
  </si>
  <si>
    <t>Use Case Points (UCP)</t>
  </si>
  <si>
    <t>⚠️  RISK ADJUSTMENTS</t>
  </si>
  <si>
    <t>🎯  RECOMMENDED ESTIMATE</t>
  </si>
  <si>
    <t>Risk Factor</t>
  </si>
  <si>
    <t>Level</t>
  </si>
  <si>
    <t>Impact (hrs)</t>
  </si>
  <si>
    <t>Probability</t>
  </si>
  <si>
    <t>Expected Impact</t>
  </si>
  <si>
    <t>Unclear Requirements</t>
  </si>
  <si>
    <t>High</t>
  </si>
  <si>
    <t>New Technology / Tools</t>
  </si>
  <si>
    <t>Medium</t>
  </si>
  <si>
    <t>Team Skill Gaps</t>
  </si>
  <si>
    <t>PERT Estimate (base)</t>
  </si>
  <si>
    <t>Integration Complexity</t>
  </si>
  <si>
    <t>3rd-Party Dependencies</t>
  </si>
  <si>
    <t>Low</t>
  </si>
  <si>
    <t>Regulatory / Compliance</t>
  </si>
  <si>
    <t>Environment Instability</t>
  </si>
  <si>
    <t>🔺  Total Risk Buffer (hrs)</t>
  </si>
  <si>
    <t>Final QA Budget (incl. contingency)</t>
  </si>
  <si>
    <t>⚙️  PROJECT CONFIGURATION &amp; TEAM SETUP</t>
  </si>
  <si>
    <t>📋  PROJECT INFORMATION</t>
  </si>
  <si>
    <t>Project Name</t>
  </si>
  <si>
    <t>Phoenix Platform Modernization</t>
  </si>
  <si>
    <t>← Fill in</t>
  </si>
  <si>
    <t>Release / Version</t>
  </si>
  <si>
    <t>Release 3.0</t>
  </si>
  <si>
    <t>QA Lead</t>
  </si>
  <si>
    <t>Jane Smith</t>
  </si>
  <si>
    <t>QA Manager</t>
  </si>
  <si>
    <t>Start Date</t>
  </si>
  <si>
    <t>2026-06-01</t>
  </si>
  <si>
    <t>YYYY-MM-DD</t>
  </si>
  <si>
    <t>End Date</t>
  </si>
  <si>
    <t>2026-09-30</t>
  </si>
  <si>
    <t>Working Hrs/Day</t>
  </si>
  <si>
    <t>hrs</t>
  </si>
  <si>
    <t>Team Size (QA)</t>
  </si>
  <si>
    <t>headcount</t>
  </si>
  <si>
    <t>Sprint Length</t>
  </si>
  <si>
    <t>weeks</t>
  </si>
  <si>
    <t>QA Duration Wks</t>
  </si>
  <si>
    <t>auto-calc</t>
  </si>
  <si>
    <t>👥  QA TEAM ROSTER</t>
  </si>
  <si>
    <t>Name</t>
  </si>
  <si>
    <t>Role</t>
  </si>
  <si>
    <t>Skill Level</t>
  </si>
  <si>
    <t>Rate ($/hr)</t>
  </si>
  <si>
    <t>Sprint Allocation %</t>
  </si>
  <si>
    <t>Senior</t>
  </si>
  <si>
    <t>Tom Reyes</t>
  </si>
  <si>
    <t>Automation Eng</t>
  </si>
  <si>
    <t>Aisha Patel</t>
  </si>
  <si>
    <t>Test Analyst</t>
  </si>
  <si>
    <t>Mid</t>
  </si>
  <si>
    <t>Carlos Vega</t>
  </si>
  <si>
    <t>Performance Tester</t>
  </si>
  <si>
    <t>Lucy Chen</t>
  </si>
  <si>
    <t>Junior Tester</t>
  </si>
  <si>
    <t>Junior</t>
  </si>
  <si>
    <t>💡  LEGEND: Cell Colours</t>
  </si>
  <si>
    <t>✏️  USER INPUT — fill these cells</t>
  </si>
  <si>
    <t>🔢  FORMULA — auto-calculated</t>
  </si>
  <si>
    <t>🔒  LABEL — do not edit</t>
  </si>
  <si>
    <t>📊  PERT ESTIMATION — PHASE-LEVEL BREAKDOWN</t>
  </si>
  <si>
    <t>📋  QA PHASE ESTIMATES</t>
  </si>
  <si>
    <t>QA Phase</t>
  </si>
  <si>
    <t>Optimistic (O)</t>
  </si>
  <si>
    <t>Most Likely (M)</t>
  </si>
  <si>
    <t>Pessimistic (P)</t>
  </si>
  <si>
    <t>PERT Hrs</t>
  </si>
  <si>
    <t>Std Dev (σ)</t>
  </si>
  <si>
    <t>Lower 95%</t>
  </si>
  <si>
    <t>Upper 95%</t>
  </si>
  <si>
    <t>Test Planning &amp; Strategy</t>
  </si>
  <si>
    <t>Test Case Design</t>
  </si>
  <si>
    <t>Test Environment Setup</t>
  </si>
  <si>
    <t>Smoke / Sanity Testing</t>
  </si>
  <si>
    <t>Functional Testing</t>
  </si>
  <si>
    <t>Regression Testing</t>
  </si>
  <si>
    <t>Integration Testing</t>
  </si>
  <si>
    <t>Performance / Load Testing</t>
  </si>
  <si>
    <t>Security Testing</t>
  </si>
  <si>
    <t>UAT Support</t>
  </si>
  <si>
    <t>Defect Triage &amp; Reporting</t>
  </si>
  <si>
    <t>Test Closure &amp; Sign-off</t>
  </si>
  <si>
    <t>TOTALS</t>
  </si>
  <si>
    <t>📌 SUMMARY (referenced by Dashboard)</t>
  </si>
  <si>
    <t>Total PERT Hrs</t>
  </si>
  <si>
    <t>Confidence Level</t>
  </si>
  <si>
    <t>Lower 95% CI</t>
  </si>
  <si>
    <t>Upper 95% CI</t>
  </si>
  <si>
    <t>🔺  THREE-POINT ESTIMATION — FEATURE-LEVEL</t>
  </si>
  <si>
    <t>PERT Formula: (O + 4M + P) / 6   |   Triangular: (O + M + P) / 3   |   Std Dev: (P - O) / 6</t>
  </si>
  <si>
    <t>🧩  FEATURE / STORY ESTIMATES</t>
  </si>
  <si>
    <t>Feature / Story</t>
  </si>
  <si>
    <t>Triangular</t>
  </si>
  <si>
    <t>Confidence Band</t>
  </si>
  <si>
    <t>User Authentication &amp; SSO</t>
  </si>
  <si>
    <t>Role-Based Access Control</t>
  </si>
  <si>
    <t>Product Catalog Module</t>
  </si>
  <si>
    <t>Shopping Cart &amp; Checkout</t>
  </si>
  <si>
    <t>Payment Gateway Integration</t>
  </si>
  <si>
    <t>Order Management</t>
  </si>
  <si>
    <t>Reporting &amp; Analytics</t>
  </si>
  <si>
    <t>Notification Engine</t>
  </si>
  <si>
    <t>Search &amp; Filtering</t>
  </si>
  <si>
    <t>Admin Dashboard</t>
  </si>
  <si>
    <t>API Versioning Tests</t>
  </si>
  <si>
    <t>Mobile Responsiveness</t>
  </si>
  <si>
    <t>Accessibility (WCAG)</t>
  </si>
  <si>
    <t>Performance Tests</t>
  </si>
  <si>
    <t>Security Penetration</t>
  </si>
  <si>
    <t>🃏  STORY POINT ESTIMATION — AGILE / SCRUM</t>
  </si>
  <si>
    <t>QA Hours = Story Points × Hours-per-Point (velocity)   |   Fibonacci scale: 1, 2, 3, 5, 8, 13, 21</t>
  </si>
  <si>
    <t>⚡  VELOCITY &amp; CAPACITY SETTINGS</t>
  </si>
  <si>
    <t>Avg. Velocity (SP/sprint)</t>
  </si>
  <si>
    <t>← Team historical average</t>
  </si>
  <si>
    <t>Sprint Capacity (hrs)</t>
  </si>
  <si>
    <t>← Team size × hrs/day × sprint days</t>
  </si>
  <si>
    <t>Hours per Story Point (QA)</t>
  </si>
  <si>
    <t>← QA hrs per SP (calibrate each project)</t>
  </si>
  <si>
    <t>Number of Sprints Planned</t>
  </si>
  <si>
    <t>← Total planned sprints</t>
  </si>
  <si>
    <t>📋  USER STORY ESTIMATES</t>
  </si>
  <si>
    <t>User Story / Epic</t>
  </si>
  <si>
    <t>Story Points</t>
  </si>
  <si>
    <t>Priority</t>
  </si>
  <si>
    <t>Sprint</t>
  </si>
  <si>
    <t>QA Hrs Est.</t>
  </si>
  <si>
    <t>QA Hrs Actual</t>
  </si>
  <si>
    <t>Variance</t>
  </si>
  <si>
    <t>Status</t>
  </si>
  <si>
    <t>Epic: User Management</t>
  </si>
  <si>
    <t>Sprint 1</t>
  </si>
  <si>
    <t xml:space="preserve">  - Registration &amp; Login</t>
  </si>
  <si>
    <t>To Do</t>
  </si>
  <si>
    <t xml:space="preserve">  - Password Reset Flow</t>
  </si>
  <si>
    <t>Epic: Product Catalog</t>
  </si>
  <si>
    <t>Sprint 2</t>
  </si>
  <si>
    <t xml:space="preserve">  - Browse &amp; Search</t>
  </si>
  <si>
    <t xml:space="preserve">  - Product Detail Page</t>
  </si>
  <si>
    <t xml:space="preserve">  - Filter &amp; Sort</t>
  </si>
  <si>
    <t>Epic: Cart &amp; Checkout</t>
  </si>
  <si>
    <t>Critical</t>
  </si>
  <si>
    <t>Sprint 3</t>
  </si>
  <si>
    <t xml:space="preserve">  - Add/Remove Cart Items</t>
  </si>
  <si>
    <t xml:space="preserve">  - Checkout Flow</t>
  </si>
  <si>
    <t xml:space="preserve">  - Order Confirmation</t>
  </si>
  <si>
    <t>Sprint 4</t>
  </si>
  <si>
    <t>Epic: Payment</t>
  </si>
  <si>
    <t xml:space="preserve">  - Credit Card Integration</t>
  </si>
  <si>
    <t xml:space="preserve">  - Refund/Cancellation</t>
  </si>
  <si>
    <t>Epic: Reporting</t>
  </si>
  <si>
    <t>Sprint 5</t>
  </si>
  <si>
    <t xml:space="preserve">  - Dashboard &amp; Charts</t>
  </si>
  <si>
    <t xml:space="preserve">  - Export (CSV/PDF)</t>
  </si>
  <si>
    <t>Epic: Notifications</t>
  </si>
  <si>
    <t>Sprint 6</t>
  </si>
  <si>
    <t>Epic: Admin Panel</t>
  </si>
  <si>
    <t>Epic: Performance/ Security</t>
  </si>
  <si>
    <t>Sprint 7</t>
  </si>
  <si>
    <t>🔍  ANALOGY-BASED ESTIMATION</t>
  </si>
  <si>
    <t>Compare current project to completed reference projects. Adjust using complexity factor.</t>
  </si>
  <si>
    <t>📚  REFERENCE PROJECT LIBRARY</t>
  </si>
  <si>
    <t>Reference Project</t>
  </si>
  <si>
    <t>QA Hours Actual</t>
  </si>
  <si>
    <t>Complexity Factor</t>
  </si>
  <si>
    <t>Adj. Hrs</t>
  </si>
  <si>
    <t>Similarity %</t>
  </si>
  <si>
    <t>Project Alpha — E-Commerce v1</t>
  </si>
  <si>
    <t>Project Beta — Portal Upgrade</t>
  </si>
  <si>
    <t>Project Gamma — API Integration</t>
  </si>
  <si>
    <t>Project Delta — Mobile App QA</t>
  </si>
  <si>
    <t>Project Epsilon — Legacy Mig.</t>
  </si>
  <si>
    <t>Project Zeta — Data Platform</t>
  </si>
  <si>
    <t>🎯  WEIGHTED ANALOGY ESTIMATE</t>
  </si>
  <si>
    <t>Weighted Avg QA Hours</t>
  </si>
  <si>
    <t>📐  USE CASE POINT (UCP) ESTIMATION</t>
  </si>
  <si>
    <t>UCP = (UUCW + UAW) × TCF × ECF   |   QA Hrs = UCP × Productivity Factor</t>
  </si>
  <si>
    <t>📊  USE CASE COMPLEXITY WEIGHTS</t>
  </si>
  <si>
    <t>Use Case Complexity</t>
  </si>
  <si>
    <t>Simple (≤3 txns)</t>
  </si>
  <si>
    <t>Average (4-7)</t>
  </si>
  <si>
    <t>Complex (&gt;7)</t>
  </si>
  <si>
    <t>UUCW Weight</t>
  </si>
  <si>
    <t>Actor Complexity</t>
  </si>
  <si>
    <t>Simple (API)</t>
  </si>
  <si>
    <t>Average (UI)</t>
  </si>
  <si>
    <t>Complex (other)</t>
  </si>
  <si>
    <t>UAW Weight</t>
  </si>
  <si>
    <t>🧩  USE CASE INVENTORY</t>
  </si>
  <si>
    <t>Use Case Name</t>
  </si>
  <si>
    <t>Complexity</t>
  </si>
  <si>
    <t>UUCW</t>
  </si>
  <si>
    <t>Actors</t>
  </si>
  <si>
    <t>UAW</t>
  </si>
  <si>
    <t>Total UC Points</t>
  </si>
  <si>
    <t>Login &amp; Authentication</t>
  </si>
  <si>
    <t>Simple</t>
  </si>
  <si>
    <t>User Registration</t>
  </si>
  <si>
    <t>Average</t>
  </si>
  <si>
    <t>Browse Product Catalog</t>
  </si>
  <si>
    <t>Product Search &amp; Filter</t>
  </si>
  <si>
    <t>Manage Shopping Cart</t>
  </si>
  <si>
    <t>Complex</t>
  </si>
  <si>
    <t>Checkout Process</t>
  </si>
  <si>
    <t>Payment Processing</t>
  </si>
  <si>
    <t>Order Tracking</t>
  </si>
  <si>
    <t>Returns &amp; Refunds</t>
  </si>
  <si>
    <t>Generate Sales Reports</t>
  </si>
  <si>
    <t>Admin: User Management</t>
  </si>
  <si>
    <t>Admin: Product Management</t>
  </si>
  <si>
    <t>Send Notifications</t>
  </si>
  <si>
    <t>View Analytics Dashboard</t>
  </si>
  <si>
    <t>⚙️  TECHNICAL &amp; ENV. COMPLEXITY FACTORS</t>
  </si>
  <si>
    <t>TCF (Technical Complexity)</t>
  </si>
  <si>
    <t>0.6–1.3 range; lower = more complex</t>
  </si>
  <si>
    <t>ECF (Environment Complexity)</t>
  </si>
  <si>
    <t>0.5–1.4 range; lower = less stable env</t>
  </si>
  <si>
    <t>UCP (Adjusted)</t>
  </si>
  <si>
    <t>QA Productivity Factor (hrs/UCP)</t>
  </si>
  <si>
    <t>← hrs per UCP; typical 15–25</t>
  </si>
  <si>
    <t>Total QA Hrs (UCP Method)</t>
  </si>
  <si>
    <t>📝  TEST PLANNING &amp; TEST CASE ESTIMATION</t>
  </si>
  <si>
    <t>Test Cases = Requirements × Test-to-Req Ratio   |   Hours = Test Cases × hrs per case</t>
  </si>
  <si>
    <t>⚙️  PLANNING PARAMETERS</t>
  </si>
  <si>
    <t>Total Requirements (User Stories)</t>
  </si>
  <si>
    <t>← count from backlog</t>
  </si>
  <si>
    <t>Test-to-Req Ratio</t>
  </si>
  <si>
    <t>← avg test cases per requirement</t>
  </si>
  <si>
    <t>Hrs per Test Case (Design)</t>
  </si>
  <si>
    <t>← estimation standard</t>
  </si>
  <si>
    <t>Hrs per Test Case (Execution)</t>
  </si>
  <si>
    <t>Hrs per Test Case (Regression)</t>
  </si>
  <si>
    <t>← per regression cycle</t>
  </si>
  <si>
    <t>Number of Regression Cycles</t>
  </si>
  <si>
    <t>← sprints / releases</t>
  </si>
  <si>
    <t>Review &amp; Rework Buffer (%)</t>
  </si>
  <si>
    <t>← overhead factor</t>
  </si>
  <si>
    <t>📊  ESTIMATED OUTPUTS</t>
  </si>
  <si>
    <t>Estimated Test Cases</t>
  </si>
  <si>
    <t>Test Design Hours</t>
  </si>
  <si>
    <t>Test Execution Hours</t>
  </si>
  <si>
    <t>Regression Hours (total)</t>
  </si>
  <si>
    <t>Sub-Total QA Hours</t>
  </si>
  <si>
    <t>Review &amp; Rework (buffer)</t>
  </si>
  <si>
    <t>TOTAL Test Planning Hours</t>
  </si>
  <si>
    <t>💰  QA BUDGET PLANNER</t>
  </si>
  <si>
    <t>Budget = (Team Hours × Hourly Rates) + Tools + Training + Infrastructure + Contingency</t>
  </si>
  <si>
    <t>👥  LABOR COST BREAKDOWN</t>
  </si>
  <si>
    <t>Team Member</t>
  </si>
  <si>
    <t>Hrs/Sprint</t>
  </si>
  <si>
    <t>No. Sprints</t>
  </si>
  <si>
    <t>Total Hrs</t>
  </si>
  <si>
    <t>$/hr</t>
  </si>
  <si>
    <t>Labor Cost</t>
  </si>
  <si>
    <t>Benefits (30%)</t>
  </si>
  <si>
    <t>Total Cost</t>
  </si>
  <si>
    <t>LABOR TOTALS</t>
  </si>
  <si>
    <t>🛠️  TOOLS, INFRASTRUCTURE &amp; OTHER COSTS</t>
  </si>
  <si>
    <t>Cost Category</t>
  </si>
  <si>
    <t>Description</t>
  </si>
  <si>
    <t>Unit Cost</t>
  </si>
  <si>
    <t>Quantity</t>
  </si>
  <si>
    <t>Frequency</t>
  </si>
  <si>
    <t>Test Automation Tools</t>
  </si>
  <si>
    <t>Selenium/Playwright license</t>
  </si>
  <si>
    <t>Test Mgmt Tool</t>
  </si>
  <si>
    <t>Jira/TestRail subscription</t>
  </si>
  <si>
    <t>Performance Tools</t>
  </si>
  <si>
    <t>JMeter / LoadRunner</t>
  </si>
  <si>
    <t>Security Tools</t>
  </si>
  <si>
    <t>OWASP ZAP / BurpSuite</t>
  </si>
  <si>
    <t>CI/CD Integration</t>
  </si>
  <si>
    <t>Pipeline setup &amp; maint.</t>
  </si>
  <si>
    <t>Dev/QA Environment</t>
  </si>
  <si>
    <t>Cloud infra (AWS/Azure)</t>
  </si>
  <si>
    <t>Training</t>
  </si>
  <si>
    <t>QA skills &amp; tool training</t>
  </si>
  <si>
    <t>Travel &amp; Expenses</t>
  </si>
  <si>
    <t>Onsite visits / stakeholder</t>
  </si>
  <si>
    <t>Miscellaneous</t>
  </si>
  <si>
    <t>10% buffer for unknowns</t>
  </si>
  <si>
    <t>TOTAL NON-LABOR COSTS</t>
  </si>
  <si>
    <t>💰  TOTAL QA BUDGET</t>
  </si>
  <si>
    <t>⚠️  + Contingency Buffer (recommended 15-20%)</t>
  </si>
  <si>
    <t>✅  FINAL RECOMMENDED QA BUDGET</t>
  </si>
  <si>
    <t>📅  SPRINT-BY-SPRINT RESOURCE ALLOCATION PLAN</t>
  </si>
  <si>
    <t>Plan QA headcount and hours per sprint; monitor actuals vs. estimates</t>
  </si>
  <si>
    <t>📋  SPRINT ALLOCATION MATRIX</t>
  </si>
  <si>
    <t>Planned Hrs</t>
  </si>
  <si>
    <t>Actual Hrs</t>
  </si>
  <si>
    <t># QA Assigned</t>
  </si>
  <si>
    <t>Features In Scope</t>
  </si>
  <si>
    <t>Test Cases</t>
  </si>
  <si>
    <t>Pass Rate %</t>
  </si>
  <si>
    <t>Bugs Found</t>
  </si>
  <si>
    <t>Sprint 8</t>
  </si>
  <si>
    <t>📖  HOW TO USE — QA ESTIMATION TEMPLATE</t>
  </si>
  <si>
    <t>🟣 STEP 1 — Configure Your Project</t>
  </si>
  <si>
    <t>⚙️ Config sheet</t>
  </si>
  <si>
    <t>Fill in Project Name, Release, QA Lead, Team roster with roles, skill levels, hourly rates and sprint allocation.</t>
  </si>
  <si>
    <t>🟣 STEP 2 — PERT Phase Estimation</t>
  </si>
  <si>
    <t>📊 PERT Estimation sheet</t>
  </si>
  <si>
    <t>Enter Optimistic, Most Likely and Pessimistic hours for each QA phase. PERT and Std Dev calculate automatically.</t>
  </si>
  <si>
    <t>🟣 STEP 3 — Feature-Level Three-Point</t>
  </si>
  <si>
    <t>🔺 Three-Point sheet</t>
  </si>
  <si>
    <t>Enter O/M/P hours for each feature or user story. Both PERT and Triangular averages are computed.</t>
  </si>
  <si>
    <t>🟣 STEP 4 — Story Points (Agile)</t>
  </si>
  <si>
    <t>🃏 Story Points sheet</t>
  </si>
  <si>
    <t>Assign story points per epic/story. Set velocity and hours-per-point. QA hours auto-calculate.</t>
  </si>
  <si>
    <t>🟣 STEP 5 — Analogy Estimation</t>
  </si>
  <si>
    <t>🔍 Analogy sheet</t>
  </si>
  <si>
    <t>Enter reference (past) projects with actual QA hours, complexity factors and similarity %. Weighted estimate is computed.</t>
  </si>
  <si>
    <t>🟣 STEP 6 — Use Case Points</t>
  </si>
  <si>
    <t>📐 UCP sheet</t>
  </si>
  <si>
    <t>Log use cases with complexity. Set TCF, ECF and productivity factor. Total QA hours are estimated.</t>
  </si>
  <si>
    <t>🟣 STEP 7 — Test Case Planning</t>
  </si>
  <si>
    <t>📝 Test Planning sheet</t>
  </si>
  <si>
    <t>Set requirements count, test-to-req ratio and hrs/case. Total design, execution and regression hours auto-calculate.</t>
  </si>
  <si>
    <t>🟣 STEP 8 — Budget Planning</t>
  </si>
  <si>
    <t>💰 Budget Planner sheet</t>
  </si>
  <si>
    <t>Labor costs pull from Config. Add tool, infra and training costs. Final budget with contingency auto-totals.</t>
  </si>
  <si>
    <t>🟣 STEP 9 — Risk Buffer</t>
  </si>
  <si>
    <t>📋 Dashboard → Risk table</t>
  </si>
  <si>
    <t>Adjust risk probability and impact on the Dashboard. Total risk buffer adds to recommended estimate.</t>
  </si>
  <si>
    <t>🟣 STEP 10 — Sprint Planning</t>
  </si>
  <si>
    <t>📅 Sprint Resource Plan sheet</t>
  </si>
  <si>
    <t>Enter planned hours per sprint and assigned testers. As actuals come in, variance and status update automatically.</t>
  </si>
  <si>
    <t>🟣 STEP 11 — Review Dashboard</t>
  </si>
  <si>
    <t>📋 Estimation Dashboard</t>
  </si>
  <si>
    <t>The dashboard aggregates all techniques. Compare side-by-side and use PERT as the primary recommended estimate.</t>
  </si>
  <si>
    <t>💡 COLOUR CODE</t>
  </si>
  <si>
    <t>Dark Green cells = User Input</t>
  </si>
  <si>
    <t>Dark Blue-Purple = Formula (do not edit)   |   Purple sections = Section headers</t>
  </si>
  <si>
    <t>💡 BEST PRACTICE</t>
  </si>
  <si>
    <t>Use 2–3 techniques and compare</t>
  </si>
  <si>
    <t>For new projects: PERT + Story Points. For similar past projects: Analogy. For requirement-heavy: UCP.</t>
  </si>
  <si>
    <t>💡 CONFIDENCE</t>
  </si>
  <si>
    <t>🟢 High &lt; 10% CV | 🟡 Medium 10–20% | 🔴 Low &gt; 20%</t>
  </si>
  <si>
    <t>CV = Std Dev / PERT Estimate. Lower is better. Aim for High on critical projects.</t>
  </si>
  <si>
    <t>🟢 High</t>
  </si>
  <si>
    <t>🟡 Medium</t>
  </si>
  <si>
    <t>GRAND TOTAL (with contingency)</t>
  </si>
  <si>
    <t>Vishvambruth Javagal</t>
  </si>
  <si>
    <t>📋 DATA TABLE - HEADERS</t>
  </si>
  <si>
    <r>
      <rPr>
        <b/>
        <sz val="11"/>
        <color theme="1"/>
        <rFont val="Calibri"/>
        <family val="2"/>
        <scheme val="minor"/>
      </rPr>
      <t>Formula:</t>
    </r>
    <r>
      <rPr>
        <sz val="11"/>
        <color theme="1"/>
        <rFont val="Calibri"/>
        <family val="2"/>
        <scheme val="minor"/>
      </rPr>
      <t xml:space="preserve"> PERT = (O + 4M + P) / 6    |    Std Dev = (P - O) / 6    |    95% CI = PERT ± 1.96 × σ</t>
    </r>
  </si>
  <si>
    <t>Totoal Testers: 5</t>
  </si>
  <si>
    <r>
      <t xml:space="preserve">Number of Sprints: </t>
    </r>
    <r>
      <rPr>
        <sz val="11"/>
        <color rgb="FF1E3A5F"/>
        <rFont val="Segoe UI"/>
        <family val="2"/>
      </rPr>
      <t>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</si>
</sst>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&quot;$&quot;#,##0.00"/>
    <numFmt numFmtId="165" formatCode="0.0"/>
    <numFmt numFmtId="166" formatCode="#,##0.0"/>
    <numFmt numFmtId="167" formatCode="&quot;$&quot;#,##0"/>
  </numFmts>
  <fonts count="4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  <font>
      <sz val="9"/>
      <color rgb="FF000000"/>
      <name val="Segoe UI"/>
      <family val="2"/>
    </font>
    <font>
      <b/>
      <sz val="9"/>
      <color rgb="FF000000"/>
      <name val="Segoe UI"/>
      <family val="2"/>
    </font>
    <font>
      <b/>
      <sz val="18"/>
      <color rgb="FFFFFFFF"/>
      <name val="Segoe UI"/>
      <family val="2"/>
    </font>
    <font>
      <b/>
      <sz val="11"/>
      <color rgb="FFFFFFFF"/>
      <name val="Segoe UI"/>
      <family val="2"/>
    </font>
    <font>
      <b/>
      <sz val="12"/>
      <color rgb="FFFFFFFF"/>
      <name val="Segoe UI"/>
      <family val="2"/>
    </font>
    <font>
      <b/>
      <sz val="10"/>
      <color rgb="FFFFFFFF"/>
      <name val="Segoe UI"/>
      <family val="2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rgb="FFFFFFFF"/>
      <name val="Segoe UI"/>
      <family val="2"/>
    </font>
    <font>
      <b/>
      <sz val="16"/>
      <color rgb="FFFFFFFF"/>
      <name val="Calibri"/>
      <family val="2"/>
      <scheme val="minor"/>
    </font>
    <font>
      <b/>
      <sz val="24"/>
      <color rgb="FF1E3A5F"/>
      <name val="Segoe UI"/>
      <family val="2"/>
    </font>
    <font>
      <b/>
      <sz val="14"/>
      <color rgb="FFFFFFFF"/>
      <name val="Segoe UI"/>
      <family val="2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i/>
      <sz val="9"/>
      <color rgb="FFFFFFFF"/>
      <name val="Segoe UI"/>
      <family val="2"/>
    </font>
    <font>
      <sz val="10"/>
      <color rgb="FF333333"/>
      <name val="Segoe UI"/>
      <family val="2"/>
    </font>
    <font>
      <sz val="9"/>
      <color rgb="FFFFFFFF"/>
      <name val="Segoe UI"/>
      <family val="2"/>
    </font>
    <font>
      <b/>
      <sz val="18"/>
      <color rgb="FF1E3A5F"/>
      <name val="Segoe UI"/>
      <family val="2"/>
    </font>
    <font>
      <b/>
      <sz val="10"/>
      <color rgb="FF1E3A5F"/>
      <name val="Segoe UI"/>
      <family val="2"/>
    </font>
    <font>
      <i/>
      <sz val="9"/>
      <color rgb="FF888888"/>
      <name val="Segoe UI"/>
      <family val="2"/>
    </font>
    <font>
      <b/>
      <sz val="10"/>
      <color rgb="FF333333"/>
      <name val="Segoe UI"/>
      <family val="2"/>
    </font>
    <font>
      <b/>
      <sz val="11"/>
      <color rgb="FF1E3A5F"/>
      <name val="Segoe UI"/>
      <family val="2"/>
    </font>
    <font>
      <i/>
      <sz val="10"/>
      <color rgb="FFE8EDF2"/>
      <name val="Segoe UI"/>
      <family val="2"/>
    </font>
    <font>
      <i/>
      <sz val="9"/>
      <color rgb="FFE8EDF2"/>
      <name val="Segoe UI"/>
      <family val="2"/>
    </font>
    <font>
      <sz val="10"/>
      <color rgb="FF1E3A5F"/>
      <name val="Segoe UI"/>
      <family val="2"/>
    </font>
    <font>
      <b/>
      <sz val="12"/>
      <color rgb="FF1E3A5F"/>
      <name val="Segoe UI"/>
      <family val="2"/>
    </font>
    <font>
      <b/>
      <i/>
      <sz val="9"/>
      <color rgb="FF1E3A5F"/>
      <name val="Segoe UI"/>
      <family val="2"/>
    </font>
    <font>
      <i/>
      <sz val="9"/>
      <color rgb="FFE8EDF2"/>
      <name val="Calibri"/>
      <family val="2"/>
      <scheme val="minor"/>
    </font>
    <font>
      <b/>
      <sz val="11"/>
      <color rgb="FFE65100"/>
      <name val="Segoe UI"/>
      <family val="2"/>
    </font>
    <font>
      <b/>
      <sz val="12"/>
      <color rgb="FFE65100"/>
      <name val="Segoe UI"/>
      <family val="2"/>
    </font>
    <font>
      <b/>
      <sz val="12"/>
      <color rgb="FFE65100"/>
      <name val="Calibri"/>
      <family val="2"/>
      <scheme val="minor"/>
    </font>
    <font>
      <i/>
      <sz val="9"/>
      <color rgb="FF1E3A5F"/>
      <name val="Segoe UI"/>
      <family val="2"/>
    </font>
    <font>
      <b/>
      <sz val="24"/>
      <color rgb="FF2E7D32"/>
      <name val="Segoe UI"/>
      <family val="2"/>
    </font>
    <font>
      <b/>
      <sz val="18"/>
      <color rgb="FFE65100"/>
      <name val="Segoe UI"/>
      <family val="2"/>
    </font>
    <font>
      <b/>
      <sz val="10"/>
      <color rgb="FFC62828"/>
      <name val="Segoe UI"/>
      <family val="2"/>
    </font>
    <font>
      <b/>
      <sz val="9"/>
      <color rgb="FFC62828"/>
      <name val="Segoe UI"/>
      <family val="2"/>
    </font>
    <font>
      <b/>
      <sz val="20"/>
      <color rgb="FF2E7D32"/>
      <name val="Segoe UI"/>
      <family val="2"/>
    </font>
    <font>
      <i/>
      <sz val="9"/>
      <color rgb="FF1B5E20"/>
      <name val="Segoe UI"/>
      <family val="2"/>
    </font>
    <font>
      <b/>
      <sz val="14"/>
      <color rgb="FF2E7D32"/>
      <name val="Segoe UI"/>
      <family val="2"/>
    </font>
    <font>
      <sz val="9"/>
      <color rgb="FF1B5E20"/>
      <name val="Segoe UI"/>
      <family val="2"/>
    </font>
    <font>
      <b/>
      <sz val="9"/>
      <color rgb="FFFFFFFF"/>
      <name val="Segoe UI"/>
      <family val="2"/>
    </font>
    <font>
      <sz val="11"/>
      <color rgb="FF1E3A5F"/>
      <name val="Segoe UI"/>
      <family val="2"/>
    </font>
  </fonts>
  <fills count="33">
    <fill>
      <patternFill patternType="none"/>
    </fill>
    <fill>
      <patternFill patternType="gray125"/>
    </fill>
    <fill>
      <patternFill patternType="solid">
        <fgColor rgb="FF1E1E2E"/>
      </patternFill>
    </fill>
    <fill>
      <patternFill patternType="solid">
        <fgColor rgb="FF12122A"/>
      </patternFill>
    </fill>
    <fill>
      <patternFill patternType="solid">
        <fgColor rgb="FF00D4AA"/>
      </patternFill>
    </fill>
    <fill>
      <patternFill patternType="solid">
        <fgColor rgb="FF252537"/>
      </patternFill>
    </fill>
    <fill>
      <patternFill patternType="solid">
        <fgColor rgb="FF2D2D4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F9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2E5984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E8EDF2"/>
        <bgColor indexed="64"/>
      </patternFill>
    </fill>
    <fill>
      <patternFill patternType="solid">
        <fgColor rgb="FFD4A84B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rgb="FFFFCDD2"/>
        <bgColor indexed="64"/>
      </patternFill>
    </fill>
    <fill>
      <patternFill patternType="solid">
        <fgColor rgb="FF1B5E20"/>
        <bgColor indexed="64"/>
      </patternFill>
    </fill>
  </fills>
  <borders count="122">
    <border>
      <left/>
      <right/>
      <top/>
      <bottom/>
      <diagonal/>
    </border>
    <border>
      <left style="thin">
        <color rgb="FF6C63FF"/>
      </left>
      <right style="thin">
        <color rgb="FF6C63FF"/>
      </right>
      <top style="thin">
        <color rgb="FF6C63FF"/>
      </top>
      <bottom style="thin">
        <color rgb="FF6C63FF"/>
      </bottom>
      <diagonal/>
    </border>
    <border>
      <left style="thin">
        <color rgb="FF3A3A5C"/>
      </left>
      <right style="thin">
        <color rgb="FF3A3A5C"/>
      </right>
      <top style="thin">
        <color rgb="FF3A3A5C"/>
      </top>
      <bottom style="thin">
        <color rgb="FF3A3A5C"/>
      </bottom>
      <diagonal/>
    </border>
    <border>
      <left style="thin">
        <color rgb="FF3A3A5C"/>
      </left>
      <right style="thin">
        <color rgb="FF3A3A5C"/>
      </right>
      <top style="medium">
        <color rgb="FF00D4AA"/>
      </top>
      <bottom style="thin">
        <color rgb="FF3A3A5C"/>
      </bottom>
      <diagonal/>
    </border>
    <border>
      <left style="thin">
        <color rgb="FF00D4AA"/>
      </left>
      <right style="thin">
        <color rgb="FF00D4AA"/>
      </right>
      <top style="thin">
        <color rgb="FF00D4AA"/>
      </top>
      <bottom style="thin">
        <color rgb="FF00D4AA"/>
      </bottom>
      <diagonal/>
    </border>
    <border>
      <left style="thin">
        <color rgb="FF3A3A5C"/>
      </left>
      <right style="thin">
        <color rgb="FF3A3A5C"/>
      </right>
      <top style="medium">
        <color rgb="FFFFD93D"/>
      </top>
      <bottom style="thin">
        <color rgb="FF3A3A5C"/>
      </bottom>
      <diagonal/>
    </border>
    <border>
      <left style="thin">
        <color rgb="FFFF6B6B"/>
      </left>
      <right style="thin">
        <color rgb="FFFF6B6B"/>
      </right>
      <top style="thin">
        <color rgb="FFFF6B6B"/>
      </top>
      <bottom style="thin">
        <color rgb="FFFF6B6B"/>
      </bottom>
      <diagonal/>
    </border>
    <border>
      <left style="thin">
        <color rgb="FF4ECDC4"/>
      </left>
      <right style="thin">
        <color rgb="FF4ECDC4"/>
      </right>
      <top style="thin">
        <color rgb="FF4ECDC4"/>
      </top>
      <bottom style="thin">
        <color rgb="FF4ECDC4"/>
      </bottom>
      <diagonal/>
    </border>
    <border>
      <left style="thin">
        <color rgb="FFFF8C42"/>
      </left>
      <right style="thin">
        <color rgb="FFFF8C42"/>
      </right>
      <top style="thin">
        <color rgb="FFFF8C42"/>
      </top>
      <bottom style="thin">
        <color rgb="FFFF8C42"/>
      </bottom>
      <diagonal/>
    </border>
    <border>
      <left style="thin">
        <color rgb="FF3A3A5C"/>
      </left>
      <right style="thin">
        <color rgb="FF3A3A5C"/>
      </right>
      <top style="medium">
        <color rgb="FFFF8C42"/>
      </top>
      <bottom style="thin">
        <color rgb="FF3A3A5C"/>
      </bottom>
      <diagonal/>
    </border>
    <border>
      <left style="thin">
        <color rgb="FFFFD93D"/>
      </left>
      <right style="thin">
        <color rgb="FFFFD93D"/>
      </right>
      <top style="thin">
        <color rgb="FFFFD93D"/>
      </top>
      <bottom style="thin">
        <color rgb="FFFFD93D"/>
      </bottom>
      <diagonal/>
    </border>
    <border>
      <left style="medium">
        <color rgb="FF2C3E50"/>
      </left>
      <right/>
      <top style="medium">
        <color rgb="FF2C3E50"/>
      </top>
      <bottom/>
      <diagonal/>
    </border>
    <border>
      <left/>
      <right style="medium">
        <color rgb="FF2C3E50"/>
      </right>
      <top style="medium">
        <color rgb="FF2C3E50"/>
      </top>
      <bottom/>
      <diagonal/>
    </border>
    <border>
      <left/>
      <right style="medium">
        <color rgb="FF2C3E50"/>
      </right>
      <top/>
      <bottom style="medium">
        <color rgb="FF2C3E50"/>
      </bottom>
      <diagonal/>
    </border>
    <border>
      <left/>
      <right style="medium">
        <color rgb="FF2C3E50"/>
      </right>
      <top style="thin">
        <color rgb="FFBDC3C7"/>
      </top>
      <bottom style="thin">
        <color rgb="FFBDC3C7"/>
      </bottom>
      <diagonal/>
    </border>
    <border>
      <left/>
      <right style="medium">
        <color rgb="FF2C3E50"/>
      </right>
      <top style="thin">
        <color rgb="FFBDC3C7"/>
      </top>
      <bottom/>
      <diagonal/>
    </border>
    <border>
      <left/>
      <right style="medium">
        <color rgb="FF2C3E50"/>
      </right>
      <top style="thin">
        <color rgb="FF3A3A5C"/>
      </top>
      <bottom/>
      <diagonal/>
    </border>
    <border>
      <left style="medium">
        <color rgb="FF2C3E50"/>
      </left>
      <right style="thin">
        <color rgb="FFBDC3C7"/>
      </right>
      <top style="thin">
        <color rgb="FF3A3A5C"/>
      </top>
      <bottom/>
      <diagonal/>
    </border>
    <border>
      <left style="medium">
        <color rgb="FF2C3E50"/>
      </left>
      <right style="thin">
        <color rgb="FFBDC3C7"/>
      </right>
      <top style="thin">
        <color rgb="FFBDC3C7"/>
      </top>
      <bottom/>
      <diagonal/>
    </border>
    <border>
      <left style="medium">
        <color rgb="FF2C3E50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2C3E50"/>
      </left>
      <right style="thin">
        <color rgb="FFBDC3C7"/>
      </right>
      <top/>
      <bottom style="medium">
        <color rgb="FF2C3E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D4AA"/>
      </top>
      <bottom style="thin">
        <color indexed="64"/>
      </bottom>
      <diagonal/>
    </border>
    <border>
      <left/>
      <right/>
      <top style="medium">
        <color rgb="FF00D4AA"/>
      </top>
      <bottom style="thin">
        <color indexed="64"/>
      </bottom>
      <diagonal/>
    </border>
    <border>
      <left/>
      <right style="thin">
        <color rgb="FF3A3A5C"/>
      </right>
      <top style="medium">
        <color rgb="FF00D4AA"/>
      </top>
      <bottom style="thin">
        <color indexed="64"/>
      </bottom>
      <diagonal/>
    </border>
    <border>
      <left style="thin">
        <color rgb="FF6C63FF"/>
      </left>
      <right style="thin">
        <color rgb="FF6C63FF"/>
      </right>
      <top style="thin">
        <color rgb="FF6C63FF"/>
      </top>
      <bottom/>
      <diagonal/>
    </border>
    <border>
      <left/>
      <right/>
      <top style="medium">
        <color rgb="FFD4AF37"/>
      </top>
      <bottom/>
      <diagonal/>
    </border>
    <border>
      <left/>
      <right/>
      <top style="thick">
        <color rgb="FFD4AF37"/>
      </top>
      <bottom/>
      <diagonal/>
    </border>
    <border>
      <left style="thin">
        <color rgb="FFD4AF37"/>
      </left>
      <right style="thin">
        <color rgb="FF3A3A5C"/>
      </right>
      <top style="medium">
        <color rgb="FFD4AF37"/>
      </top>
      <bottom style="thin">
        <color rgb="FF3A3A5C"/>
      </bottom>
      <diagonal/>
    </border>
    <border>
      <left/>
      <right style="thin">
        <color rgb="FFD4AF37"/>
      </right>
      <top style="medium">
        <color rgb="FFD4AF37"/>
      </top>
      <bottom/>
      <diagonal/>
    </border>
    <border>
      <left style="thin">
        <color rgb="FF2E5090"/>
      </left>
      <right style="thin">
        <color rgb="FF3A3A5C"/>
      </right>
      <top style="thin">
        <color rgb="FF2E5090"/>
      </top>
      <bottom style="thin">
        <color rgb="FF3A3A5C"/>
      </bottom>
      <diagonal/>
    </border>
    <border>
      <left/>
      <right/>
      <top style="thin">
        <color rgb="FF2E5090"/>
      </top>
      <bottom/>
      <diagonal/>
    </border>
    <border>
      <left/>
      <right style="thin">
        <color rgb="FF2E5090"/>
      </right>
      <top style="thin">
        <color rgb="FF2E5090"/>
      </top>
      <bottom/>
      <diagonal/>
    </border>
    <border>
      <left style="thin">
        <color rgb="FF2E5090"/>
      </left>
      <right style="thin">
        <color rgb="FF3A3A5C"/>
      </right>
      <top style="medium">
        <color rgb="FFFF6B6B"/>
      </top>
      <bottom style="thin">
        <color rgb="FF2E5090"/>
      </bottom>
      <diagonal/>
    </border>
    <border>
      <left/>
      <right/>
      <top/>
      <bottom style="thin">
        <color rgb="FF2E5090"/>
      </bottom>
      <diagonal/>
    </border>
    <border>
      <left/>
      <right style="thin">
        <color rgb="FF2E5090"/>
      </right>
      <top/>
      <bottom style="thin">
        <color rgb="FF2E5090"/>
      </bottom>
      <diagonal/>
    </border>
    <border>
      <left style="thin">
        <color rgb="FF2E5090"/>
      </left>
      <right style="thin">
        <color rgb="FF3A3A5C"/>
      </right>
      <top style="medium">
        <color rgb="FFFFD93D"/>
      </top>
      <bottom style="thin">
        <color rgb="FF2E5090"/>
      </bottom>
      <diagonal/>
    </border>
    <border>
      <left style="thin">
        <color rgb="FF2E5090"/>
      </left>
      <right style="thin">
        <color rgb="FF3A3A5C"/>
      </right>
      <top style="medium">
        <color rgb="FF4ECDC4"/>
      </top>
      <bottom style="thin">
        <color rgb="FF2E5090"/>
      </bottom>
      <diagonal/>
    </border>
    <border>
      <left style="thin">
        <color rgb="FF2E5090"/>
      </left>
      <right style="thin">
        <color rgb="FF3A3A5C"/>
      </right>
      <top style="medium">
        <color rgb="FFFF8C42"/>
      </top>
      <bottom style="thin">
        <color rgb="FF2E5090"/>
      </bottom>
      <diagonal/>
    </border>
    <border>
      <left style="thin">
        <color rgb="FF1E3A5F"/>
      </left>
      <right style="thin">
        <color rgb="FF6C63FF"/>
      </right>
      <top style="thick">
        <color rgb="FFD4AF37"/>
      </top>
      <bottom/>
      <diagonal/>
    </border>
    <border>
      <left/>
      <right style="thin">
        <color rgb="FF1E3A5F"/>
      </right>
      <top style="thick">
        <color rgb="FFD4AF37"/>
      </top>
      <bottom/>
      <diagonal/>
    </border>
    <border>
      <left/>
      <right style="thin">
        <color rgb="FFDC3545"/>
      </right>
      <top/>
      <bottom/>
      <diagonal/>
    </border>
    <border>
      <left/>
      <right/>
      <top/>
      <bottom style="thin">
        <color rgb="FFDC3545"/>
      </bottom>
      <diagonal/>
    </border>
    <border>
      <left/>
      <right style="thin">
        <color rgb="FF28A745"/>
      </right>
      <top/>
      <bottom/>
      <diagonal/>
    </border>
    <border>
      <left/>
      <right/>
      <top style="thick">
        <color rgb="FFD4A84B"/>
      </top>
      <bottom/>
      <diagonal/>
    </border>
    <border>
      <left style="thin">
        <color rgb="FFD9E2EC"/>
      </left>
      <right style="thin">
        <color rgb="FF3A3A5C"/>
      </right>
      <top style="thin">
        <color rgb="FFD9E2EC"/>
      </top>
      <bottom style="thin">
        <color rgb="FFE8EDF2"/>
      </bottom>
      <diagonal/>
    </border>
    <border>
      <left style="thin">
        <color rgb="FF3A3A5C"/>
      </left>
      <right style="thin">
        <color rgb="FF3A3A5C"/>
      </right>
      <top style="thin">
        <color rgb="FFD9E2EC"/>
      </top>
      <bottom style="thin">
        <color rgb="FFE8EDF2"/>
      </bottom>
      <diagonal/>
    </border>
    <border>
      <left style="thin">
        <color rgb="FF3A3A5C"/>
      </left>
      <right style="thin">
        <color rgb="FFD9E2EC"/>
      </right>
      <top style="thin">
        <color rgb="FFD9E2EC"/>
      </top>
      <bottom style="thin">
        <color rgb="FFE8EDF2"/>
      </bottom>
      <diagonal/>
    </border>
    <border>
      <left style="thin">
        <color rgb="FFD9E2EC"/>
      </left>
      <right style="thin">
        <color rgb="FF3A3A5C"/>
      </right>
      <top style="thin">
        <color rgb="FFE8EDF2"/>
      </top>
      <bottom style="thin">
        <color rgb="FFE8EDF2"/>
      </bottom>
      <diagonal/>
    </border>
    <border>
      <left style="thin">
        <color rgb="FF3A3A5C"/>
      </left>
      <right style="thin">
        <color rgb="FF3A3A5C"/>
      </right>
      <top style="thin">
        <color rgb="FFE8EDF2"/>
      </top>
      <bottom style="thin">
        <color rgb="FFE8EDF2"/>
      </bottom>
      <diagonal/>
    </border>
    <border>
      <left style="thin">
        <color rgb="FF3A3A5C"/>
      </left>
      <right style="thin">
        <color rgb="FFD9E2EC"/>
      </right>
      <top style="thin">
        <color rgb="FFE8EDF2"/>
      </top>
      <bottom style="thin">
        <color rgb="FFE8EDF2"/>
      </bottom>
      <diagonal/>
    </border>
    <border>
      <left style="thin">
        <color rgb="FFD9E2EC"/>
      </left>
      <right style="thin">
        <color rgb="FF3A3A5C"/>
      </right>
      <top style="thin">
        <color rgb="FFE8EDF2"/>
      </top>
      <bottom style="thin">
        <color rgb="FFD9E2EC"/>
      </bottom>
      <diagonal/>
    </border>
    <border>
      <left style="thin">
        <color rgb="FF3A3A5C"/>
      </left>
      <right style="thin">
        <color rgb="FF3A3A5C"/>
      </right>
      <top style="thin">
        <color rgb="FFE8EDF2"/>
      </top>
      <bottom style="thin">
        <color rgb="FFD9E2EC"/>
      </bottom>
      <diagonal/>
    </border>
    <border>
      <left style="thin">
        <color rgb="FF3A3A5C"/>
      </left>
      <right style="thin">
        <color rgb="FFD9E2EC"/>
      </right>
      <top style="thin">
        <color rgb="FFE8EDF2"/>
      </top>
      <bottom style="thin">
        <color rgb="FFD9E2EC"/>
      </bottom>
      <diagonal/>
    </border>
    <border>
      <left style="thin">
        <color rgb="FFD9E2EC"/>
      </left>
      <right style="thin">
        <color rgb="FFE8EDF2"/>
      </right>
      <top style="thin">
        <color rgb="FFD9E2EC"/>
      </top>
      <bottom style="thin">
        <color rgb="FFE8EDF2"/>
      </bottom>
      <diagonal/>
    </border>
    <border>
      <left style="thin">
        <color rgb="FFE8EDF2"/>
      </left>
      <right style="thin">
        <color rgb="FFE8EDF2"/>
      </right>
      <top style="thin">
        <color rgb="FFD9E2EC"/>
      </top>
      <bottom style="thin">
        <color rgb="FFE8EDF2"/>
      </bottom>
      <diagonal/>
    </border>
    <border>
      <left style="thin">
        <color rgb="FFE8EDF2"/>
      </left>
      <right style="thin">
        <color rgb="FFD9E2EC"/>
      </right>
      <top style="thin">
        <color rgb="FFD9E2EC"/>
      </top>
      <bottom style="thin">
        <color rgb="FFE8EDF2"/>
      </bottom>
      <diagonal/>
    </border>
    <border>
      <left style="thin">
        <color rgb="FFD9E2EC"/>
      </left>
      <right style="thin">
        <color rgb="FFE8EDF2"/>
      </right>
      <top style="thin">
        <color rgb="FFE8EDF2"/>
      </top>
      <bottom style="thin">
        <color rgb="FFE8EDF2"/>
      </bottom>
      <diagonal/>
    </border>
    <border>
      <left style="thin">
        <color rgb="FFE8EDF2"/>
      </left>
      <right style="thin">
        <color rgb="FFE8EDF2"/>
      </right>
      <top style="thin">
        <color rgb="FFE8EDF2"/>
      </top>
      <bottom style="thin">
        <color rgb="FFE8EDF2"/>
      </bottom>
      <diagonal/>
    </border>
    <border>
      <left style="thin">
        <color rgb="FFE8EDF2"/>
      </left>
      <right style="thin">
        <color rgb="FFD9E2EC"/>
      </right>
      <top style="thin">
        <color rgb="FFE8EDF2"/>
      </top>
      <bottom style="thin">
        <color rgb="FFE8EDF2"/>
      </bottom>
      <diagonal/>
    </border>
    <border>
      <left style="thin">
        <color rgb="FFD9E2EC"/>
      </left>
      <right style="thin">
        <color rgb="FFE8EDF2"/>
      </right>
      <top style="thin">
        <color rgb="FFE8EDF2"/>
      </top>
      <bottom style="thin">
        <color rgb="FFD9E2EC"/>
      </bottom>
      <diagonal/>
    </border>
    <border>
      <left style="thin">
        <color rgb="FFE8EDF2"/>
      </left>
      <right style="thin">
        <color rgb="FFE8EDF2"/>
      </right>
      <top style="thin">
        <color rgb="FFE8EDF2"/>
      </top>
      <bottom style="thin">
        <color rgb="FFD9E2EC"/>
      </bottom>
      <diagonal/>
    </border>
    <border>
      <left style="thin">
        <color rgb="FFE8EDF2"/>
      </left>
      <right style="thin">
        <color rgb="FFD9E2EC"/>
      </right>
      <top style="thin">
        <color rgb="FFE8EDF2"/>
      </top>
      <bottom style="thin">
        <color rgb="FFD9E2EC"/>
      </bottom>
      <diagonal/>
    </border>
    <border>
      <left style="thin">
        <color rgb="FF00D4AA"/>
      </left>
      <right style="thin">
        <color rgb="FF00D4AA"/>
      </right>
      <top style="thin">
        <color rgb="FF00D4AA"/>
      </top>
      <bottom/>
      <diagonal/>
    </border>
    <border>
      <left style="thin">
        <color rgb="FF1E3A5F"/>
      </left>
      <right style="thin">
        <color rgb="FFD9E2EC"/>
      </right>
      <top style="thin">
        <color rgb="FF1E3A5F"/>
      </top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1E3A5F"/>
      </top>
      <bottom style="thin">
        <color rgb="FFD9E2EC"/>
      </bottom>
      <diagonal/>
    </border>
    <border>
      <left style="thin">
        <color rgb="FFD9E2EC"/>
      </left>
      <right style="thin">
        <color rgb="FF1E3A5F"/>
      </right>
      <top style="thin">
        <color rgb="FF1E3A5F"/>
      </top>
      <bottom style="thin">
        <color rgb="FFD9E2EC"/>
      </bottom>
      <diagonal/>
    </border>
    <border>
      <left style="thin">
        <color rgb="FF1E3A5F"/>
      </left>
      <right style="thin">
        <color rgb="FF3A3A5C"/>
      </right>
      <top style="medium">
        <color rgb="FF1E3A5F"/>
      </top>
      <bottom style="thin">
        <color rgb="FFE8EDF2"/>
      </bottom>
      <diagonal/>
    </border>
    <border>
      <left style="thin">
        <color rgb="FF3A3A5C"/>
      </left>
      <right style="thin">
        <color rgb="FF1E3A5F"/>
      </right>
      <top style="medium">
        <color rgb="FF1E3A5F"/>
      </top>
      <bottom style="thin">
        <color rgb="FFE8EDF2"/>
      </bottom>
      <diagonal/>
    </border>
    <border>
      <left style="thin">
        <color rgb="FF1E3A5F"/>
      </left>
      <right style="thin">
        <color rgb="FF3A3A5C"/>
      </right>
      <top style="thin">
        <color rgb="FFE8EDF2"/>
      </top>
      <bottom style="thin">
        <color rgb="FFE8EDF2"/>
      </bottom>
      <diagonal/>
    </border>
    <border>
      <left style="thin">
        <color rgb="FF3A3A5C"/>
      </left>
      <right style="thin">
        <color rgb="FF1E3A5F"/>
      </right>
      <top style="thin">
        <color rgb="FFE8EDF2"/>
      </top>
      <bottom style="thin">
        <color rgb="FFE8EDF2"/>
      </bottom>
      <diagonal/>
    </border>
    <border>
      <left style="thin">
        <color rgb="FF1E3A5F"/>
      </left>
      <right style="thin">
        <color rgb="FF3A3A5C"/>
      </right>
      <top style="thin">
        <color rgb="FFE8EDF2"/>
      </top>
      <bottom style="medium">
        <color rgb="FF1E3A5F"/>
      </bottom>
      <diagonal/>
    </border>
    <border>
      <left style="thin">
        <color rgb="FF3A3A5C"/>
      </left>
      <right style="thin">
        <color rgb="FF1E3A5F"/>
      </right>
      <top style="thin">
        <color rgb="FFE8EDF2"/>
      </top>
      <bottom style="medium">
        <color rgb="FF1E3A5F"/>
      </bottom>
      <diagonal/>
    </border>
    <border>
      <left style="thin">
        <color rgb="FF1E3A5F"/>
      </left>
      <right style="thin">
        <color rgb="FFE8EDF2"/>
      </right>
      <top style="medium">
        <color rgb="FF1E3A5F"/>
      </top>
      <bottom style="thin">
        <color rgb="FFE8EDF2"/>
      </bottom>
      <diagonal/>
    </border>
    <border>
      <left style="thin">
        <color rgb="FFE8EDF2"/>
      </left>
      <right style="thin">
        <color rgb="FFE8EDF2"/>
      </right>
      <top style="medium">
        <color rgb="FF1E3A5F"/>
      </top>
      <bottom style="thin">
        <color rgb="FFE8EDF2"/>
      </bottom>
      <diagonal/>
    </border>
    <border>
      <left style="thin">
        <color rgb="FFE8EDF2"/>
      </left>
      <right style="thin">
        <color rgb="FF1E3A5F"/>
      </right>
      <top style="medium">
        <color rgb="FF1E3A5F"/>
      </top>
      <bottom style="thin">
        <color rgb="FFE8EDF2"/>
      </bottom>
      <diagonal/>
    </border>
    <border>
      <left style="thin">
        <color rgb="FF1E3A5F"/>
      </left>
      <right style="thin">
        <color rgb="FFE8EDF2"/>
      </right>
      <top style="thin">
        <color rgb="FFE8EDF2"/>
      </top>
      <bottom style="thin">
        <color rgb="FFE8EDF2"/>
      </bottom>
      <diagonal/>
    </border>
    <border>
      <left style="thin">
        <color rgb="FFE8EDF2"/>
      </left>
      <right style="thin">
        <color rgb="FF1E3A5F"/>
      </right>
      <top style="thin">
        <color rgb="FFE8EDF2"/>
      </top>
      <bottom style="thin">
        <color rgb="FFE8EDF2"/>
      </bottom>
      <diagonal/>
    </border>
    <border>
      <left style="thin">
        <color rgb="FF1E3A5F"/>
      </left>
      <right style="thin">
        <color rgb="FFE8EDF2"/>
      </right>
      <top style="thin">
        <color rgb="FFE8EDF2"/>
      </top>
      <bottom style="medium">
        <color rgb="FF1E3A5F"/>
      </bottom>
      <diagonal/>
    </border>
    <border>
      <left style="thin">
        <color rgb="FFE8EDF2"/>
      </left>
      <right style="thin">
        <color rgb="FFE8EDF2"/>
      </right>
      <top style="thin">
        <color rgb="FFE8EDF2"/>
      </top>
      <bottom style="medium">
        <color rgb="FF1E3A5F"/>
      </bottom>
      <diagonal/>
    </border>
    <border>
      <left style="thin">
        <color rgb="FFE8EDF2"/>
      </left>
      <right style="thin">
        <color rgb="FF1E3A5F"/>
      </right>
      <top style="thin">
        <color rgb="FFE8EDF2"/>
      </top>
      <bottom style="medium">
        <color rgb="FF1E3A5F"/>
      </bottom>
      <diagonal/>
    </border>
    <border>
      <left style="thin">
        <color rgb="FFFF6B6B"/>
      </left>
      <right style="thin">
        <color rgb="FFFF6B6B"/>
      </right>
      <top style="thin">
        <color rgb="FFFF6B6B"/>
      </top>
      <bottom/>
      <diagonal/>
    </border>
    <border>
      <left style="thin">
        <color rgb="FF4ECDC4"/>
      </left>
      <right style="thin">
        <color rgb="FF4ECDC4"/>
      </right>
      <top style="thin">
        <color rgb="FF4ECDC4"/>
      </top>
      <bottom/>
      <diagonal/>
    </border>
    <border>
      <left style="thin">
        <color rgb="FFFF8C42"/>
      </left>
      <right style="thin">
        <color rgb="FFFF8C42"/>
      </right>
      <top style="thin">
        <color rgb="FFFF8C42"/>
      </top>
      <bottom/>
      <diagonal/>
    </border>
    <border>
      <left style="thin">
        <color rgb="FFFF8C42"/>
      </left>
      <right style="thin">
        <color rgb="FFFF8C42"/>
      </right>
      <top/>
      <bottom style="thin">
        <color rgb="FFFF8C42"/>
      </bottom>
      <diagonal/>
    </border>
    <border>
      <left/>
      <right style="thin">
        <color rgb="FF3A3A5C"/>
      </right>
      <top style="thin">
        <color rgb="FF3A3A5C"/>
      </top>
      <bottom style="thin">
        <color rgb="FF3A3A5C"/>
      </bottom>
      <diagonal/>
    </border>
    <border>
      <left style="thin">
        <color rgb="FFFFD93D"/>
      </left>
      <right style="thin">
        <color rgb="FFFFD93D"/>
      </right>
      <top style="thin">
        <color rgb="FFFFD93D"/>
      </top>
      <bottom/>
      <diagonal/>
    </border>
    <border>
      <left style="medium">
        <color rgb="FF2C3E50"/>
      </left>
      <right/>
      <top style="thick">
        <color rgb="FFD4A84B"/>
      </top>
      <bottom/>
      <diagonal/>
    </border>
    <border>
      <left/>
      <right style="medium">
        <color rgb="FF2C3E50"/>
      </right>
      <top style="thick">
        <color rgb="FFD4A84B"/>
      </top>
      <bottom/>
      <diagonal/>
    </border>
    <border>
      <left style="thin">
        <color rgb="FFD4AF37"/>
      </left>
      <right style="thin">
        <color rgb="FF3A3A5C"/>
      </right>
      <top style="medium">
        <color rgb="FF6C63FF"/>
      </top>
      <bottom style="thick">
        <color rgb="FFD4A84B"/>
      </bottom>
      <diagonal/>
    </border>
    <border>
      <left/>
      <right/>
      <top/>
      <bottom style="thick">
        <color rgb="FFD4A84B"/>
      </bottom>
      <diagonal/>
    </border>
    <border>
      <left/>
      <right style="thin">
        <color rgb="FFD4AF37"/>
      </right>
      <top/>
      <bottom style="thick">
        <color rgb="FFD4A84B"/>
      </bottom>
      <diagonal/>
    </border>
    <border>
      <left/>
      <right/>
      <top/>
      <bottom style="medium">
        <color rgb="FF2E7D32"/>
      </bottom>
      <diagonal/>
    </border>
    <border>
      <left style="thin">
        <color rgb="FFD4AF37"/>
      </left>
      <right style="thin">
        <color rgb="FF3A3A5C"/>
      </right>
      <top style="medium">
        <color rgb="FF00D4AA"/>
      </top>
      <bottom style="thick">
        <color rgb="FF2E7D32"/>
      </bottom>
      <diagonal/>
    </border>
    <border>
      <left/>
      <right/>
      <top/>
      <bottom style="thick">
        <color rgb="FF2E7D32"/>
      </bottom>
      <diagonal/>
    </border>
    <border>
      <left/>
      <right style="thin">
        <color rgb="FFD4AF37"/>
      </right>
      <top/>
      <bottom style="thick">
        <color rgb="FF2E7D32"/>
      </bottom>
      <diagonal/>
    </border>
    <border>
      <left style="thin">
        <color rgb="FFDC3545"/>
      </left>
      <right style="thin">
        <color rgb="FFFF6B6B"/>
      </right>
      <top style="thin">
        <color rgb="FFFF6B6B"/>
      </top>
      <bottom/>
      <diagonal/>
    </border>
    <border>
      <left style="thin">
        <color rgb="FFDC3545"/>
      </left>
      <right style="thin">
        <color rgb="FF3A3A5C"/>
      </right>
      <top/>
      <bottom style="thin">
        <color rgb="FFDC3545"/>
      </bottom>
      <diagonal/>
    </border>
    <border>
      <left style="thin">
        <color rgb="FF3A3A5C"/>
      </left>
      <right style="thin">
        <color rgb="FFDC3545"/>
      </right>
      <top/>
      <bottom style="thin">
        <color rgb="FFDC3545"/>
      </bottom>
      <diagonal/>
    </border>
    <border>
      <left style="thin">
        <color rgb="FFC62828"/>
      </left>
      <right style="thin">
        <color rgb="FF3A3A5C"/>
      </right>
      <top style="thin">
        <color rgb="FFC62828"/>
      </top>
      <bottom style="thin">
        <color rgb="FFFFCDD2"/>
      </bottom>
      <diagonal/>
    </border>
    <border>
      <left style="thin">
        <color rgb="FF3A3A5C"/>
      </left>
      <right style="thin">
        <color rgb="FF3A3A5C"/>
      </right>
      <top style="thin">
        <color rgb="FFC62828"/>
      </top>
      <bottom style="thin">
        <color rgb="FFFFCDD2"/>
      </bottom>
      <diagonal/>
    </border>
    <border>
      <left style="thin">
        <color rgb="FF3A3A5C"/>
      </left>
      <right style="thin">
        <color rgb="FFC62828"/>
      </right>
      <top style="thin">
        <color rgb="FFC62828"/>
      </top>
      <bottom style="thin">
        <color rgb="FFFFCDD2"/>
      </bottom>
      <diagonal/>
    </border>
    <border>
      <left style="thin">
        <color rgb="FFC62828"/>
      </left>
      <right style="thin">
        <color rgb="FF3A3A5C"/>
      </right>
      <top style="thin">
        <color rgb="FFFFCDD2"/>
      </top>
      <bottom style="thin">
        <color rgb="FFFFCDD2"/>
      </bottom>
      <diagonal/>
    </border>
    <border>
      <left style="thin">
        <color rgb="FF3A3A5C"/>
      </left>
      <right style="thin">
        <color rgb="FF3A3A5C"/>
      </right>
      <top style="thin">
        <color rgb="FFFFCDD2"/>
      </top>
      <bottom style="thin">
        <color rgb="FFFFCDD2"/>
      </bottom>
      <diagonal/>
    </border>
    <border>
      <left style="thin">
        <color rgb="FF3A3A5C"/>
      </left>
      <right style="thin">
        <color rgb="FFC62828"/>
      </right>
      <top style="thin">
        <color rgb="FFFFCDD2"/>
      </top>
      <bottom style="thin">
        <color rgb="FFFFCDD2"/>
      </bottom>
      <diagonal/>
    </border>
    <border>
      <left style="thin">
        <color rgb="FFC62828"/>
      </left>
      <right style="thin">
        <color rgb="FF3A3A5C"/>
      </right>
      <top style="thin">
        <color rgb="FFFFCDD2"/>
      </top>
      <bottom style="medium">
        <color rgb="FFC62828"/>
      </bottom>
      <diagonal/>
    </border>
    <border>
      <left style="thin">
        <color rgb="FF3A3A5C"/>
      </left>
      <right style="thin">
        <color rgb="FF3A3A5C"/>
      </right>
      <top style="thin">
        <color rgb="FFFFCDD2"/>
      </top>
      <bottom style="medium">
        <color rgb="FFC62828"/>
      </bottom>
      <diagonal/>
    </border>
    <border>
      <left style="thin">
        <color rgb="FF3A3A5C"/>
      </left>
      <right style="thin">
        <color rgb="FFC62828"/>
      </right>
      <top style="thin">
        <color rgb="FFFFCDD2"/>
      </top>
      <bottom style="medium">
        <color rgb="FFC62828"/>
      </bottom>
      <diagonal/>
    </border>
    <border>
      <left style="thin">
        <color rgb="FF28A745"/>
      </left>
      <right style="thin">
        <color rgb="FF00D4AA"/>
      </right>
      <top style="thin">
        <color rgb="FF00D4AA"/>
      </top>
      <bottom/>
      <diagonal/>
    </border>
    <border>
      <left/>
      <right/>
      <top style="medium">
        <color rgb="FF2E7D32"/>
      </top>
      <bottom/>
      <diagonal/>
    </border>
    <border>
      <left style="thin">
        <color rgb="FF2E7D32"/>
      </left>
      <right style="thin">
        <color rgb="FF3A3A5C"/>
      </right>
      <top style="medium">
        <color rgb="FF2E7D32"/>
      </top>
      <bottom style="thin">
        <color rgb="FF3A3A5C"/>
      </bottom>
      <diagonal/>
    </border>
    <border>
      <left style="thin">
        <color rgb="FF2E7D32"/>
      </left>
      <right/>
      <top/>
      <bottom/>
      <diagonal/>
    </border>
    <border>
      <left style="thin">
        <color rgb="FF2E7D32"/>
      </left>
      <right style="thin">
        <color rgb="FF3A3A5C"/>
      </right>
      <top style="thin">
        <color rgb="FF3A3A5C"/>
      </top>
      <bottom style="thin">
        <color rgb="FF3A3A5C"/>
      </bottom>
      <diagonal/>
    </border>
    <border>
      <left style="thin">
        <color rgb="FF2E7D32"/>
      </left>
      <right style="thin">
        <color rgb="FF3A3A5C"/>
      </right>
      <top style="medium">
        <color rgb="FFFFD93D"/>
      </top>
      <bottom style="thin">
        <color rgb="FF3A3A5C"/>
      </bottom>
      <diagonal/>
    </border>
    <border>
      <left style="thin">
        <color rgb="FF2E7D32"/>
      </left>
      <right style="thin">
        <color rgb="FF3A3A5C"/>
      </right>
      <top style="medium">
        <color rgb="FF00D4AA"/>
      </top>
      <bottom style="thin">
        <color rgb="FF3A3A5C"/>
      </bottom>
      <diagonal/>
    </border>
    <border>
      <left style="thin">
        <color rgb="FF2E7D32"/>
      </left>
      <right style="thin">
        <color rgb="FF3A3A5C"/>
      </right>
      <top style="thin">
        <color rgb="FF3A3A5C"/>
      </top>
      <bottom style="medium">
        <color rgb="FF2E7D32"/>
      </bottom>
      <diagonal/>
    </border>
    <border>
      <left/>
      <right style="thin">
        <color rgb="FF2E7D32"/>
      </right>
      <top style="medium">
        <color rgb="FF2E7D32"/>
      </top>
      <bottom/>
      <diagonal/>
    </border>
    <border>
      <left/>
      <right style="thin">
        <color rgb="FF2E7D32"/>
      </right>
      <top/>
      <bottom/>
      <diagonal/>
    </border>
    <border>
      <left/>
      <right style="thin">
        <color rgb="FF2E7D32"/>
      </right>
      <top/>
      <bottom style="medium">
        <color rgb="FF2E7D32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2" borderId="0" xfId="0" applyFont="1" applyFill="1"/>
    <xf numFmtId="0" fontId="1" fillId="14" borderId="0" xfId="0" applyFont="1" applyFill="1"/>
    <xf numFmtId="0" fontId="0" fillId="14" borderId="0" xfId="0" applyFill="1"/>
    <xf numFmtId="0" fontId="9" fillId="8" borderId="21" xfId="0" applyFont="1" applyFill="1" applyBorder="1" applyAlignment="1">
      <alignment horizontal="center" vertical="center"/>
    </xf>
    <xf numFmtId="0" fontId="1" fillId="0" borderId="0" xfId="0" applyFont="1"/>
    <xf numFmtId="0" fontId="11" fillId="0" borderId="0" xfId="0" applyFont="1"/>
    <xf numFmtId="0" fontId="12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3" fillId="2" borderId="0" xfId="0" applyFont="1" applyFill="1"/>
    <xf numFmtId="0" fontId="3" fillId="12" borderId="21" xfId="0" applyFont="1" applyFill="1" applyBorder="1"/>
    <xf numFmtId="0" fontId="3" fillId="10" borderId="21" xfId="0" applyFont="1" applyFill="1" applyBorder="1"/>
    <xf numFmtId="0" fontId="3" fillId="9" borderId="21" xfId="0" applyFont="1" applyFill="1" applyBorder="1"/>
    <xf numFmtId="0" fontId="12" fillId="15" borderId="0" xfId="0" applyFont="1" applyFill="1" applyAlignment="1">
      <alignment horizontal="center" vertical="center"/>
    </xf>
    <xf numFmtId="0" fontId="12" fillId="15" borderId="28" xfId="0" applyFont="1" applyFill="1" applyBorder="1" applyAlignment="1">
      <alignment horizontal="center" vertical="center"/>
    </xf>
    <xf numFmtId="0" fontId="3" fillId="2" borderId="47" xfId="0" applyFont="1" applyFill="1" applyBorder="1"/>
    <xf numFmtId="0" fontId="8" fillId="21" borderId="0" xfId="0" applyFont="1" applyFill="1" applyAlignment="1">
      <alignment horizontal="left"/>
    </xf>
    <xf numFmtId="0" fontId="3" fillId="22" borderId="0" xfId="0" applyFont="1" applyFill="1"/>
    <xf numFmtId="0" fontId="22" fillId="22" borderId="2" xfId="0" applyFont="1" applyFill="1" applyBorder="1" applyAlignment="1">
      <alignment horizontal="left" vertical="center"/>
    </xf>
    <xf numFmtId="0" fontId="23" fillId="22" borderId="2" xfId="0" applyFont="1" applyFill="1" applyBorder="1" applyAlignment="1">
      <alignment horizontal="left" vertical="center"/>
    </xf>
    <xf numFmtId="0" fontId="3" fillId="16" borderId="0" xfId="0" applyFont="1" applyFill="1"/>
    <xf numFmtId="0" fontId="22" fillId="16" borderId="2" xfId="0" applyFont="1" applyFill="1" applyBorder="1" applyAlignment="1">
      <alignment horizontal="left" vertical="center"/>
    </xf>
    <xf numFmtId="0" fontId="23" fillId="16" borderId="2" xfId="0" applyFont="1" applyFill="1" applyBorder="1" applyAlignment="1">
      <alignment horizontal="left" vertical="center"/>
    </xf>
    <xf numFmtId="0" fontId="8" fillId="21" borderId="28" xfId="0" applyFont="1" applyFill="1" applyBorder="1" applyAlignment="1">
      <alignment horizontal="left" vertical="center"/>
    </xf>
    <xf numFmtId="0" fontId="22" fillId="22" borderId="48" xfId="0" applyFont="1" applyFill="1" applyBorder="1" applyAlignment="1">
      <alignment horizontal="left" vertical="center"/>
    </xf>
    <xf numFmtId="0" fontId="23" fillId="22" borderId="50" xfId="0" applyFont="1" applyFill="1" applyBorder="1" applyAlignment="1">
      <alignment horizontal="left" vertical="center"/>
    </xf>
    <xf numFmtId="0" fontId="22" fillId="16" borderId="51" xfId="0" applyFont="1" applyFill="1" applyBorder="1" applyAlignment="1">
      <alignment horizontal="left" vertical="center"/>
    </xf>
    <xf numFmtId="0" fontId="23" fillId="16" borderId="53" xfId="0" applyFont="1" applyFill="1" applyBorder="1" applyAlignment="1">
      <alignment horizontal="left" vertical="center"/>
    </xf>
    <xf numFmtId="0" fontId="22" fillId="22" borderId="51" xfId="0" applyFont="1" applyFill="1" applyBorder="1" applyAlignment="1">
      <alignment horizontal="left" vertical="center"/>
    </xf>
    <xf numFmtId="0" fontId="23" fillId="22" borderId="53" xfId="0" applyFont="1" applyFill="1" applyBorder="1" applyAlignment="1">
      <alignment horizontal="left" vertical="center"/>
    </xf>
    <xf numFmtId="0" fontId="22" fillId="16" borderId="54" xfId="0" applyFont="1" applyFill="1" applyBorder="1" applyAlignment="1">
      <alignment horizontal="left" vertical="center"/>
    </xf>
    <xf numFmtId="0" fontId="23" fillId="16" borderId="56" xfId="0" applyFont="1" applyFill="1" applyBorder="1" applyAlignment="1">
      <alignment horizontal="left" vertical="center"/>
    </xf>
    <xf numFmtId="0" fontId="22" fillId="22" borderId="57" xfId="0" applyFont="1" applyFill="1" applyBorder="1" applyAlignment="1">
      <alignment horizontal="left" vertical="center"/>
    </xf>
    <xf numFmtId="0" fontId="23" fillId="22" borderId="59" xfId="0" applyFont="1" applyFill="1" applyBorder="1" applyAlignment="1">
      <alignment horizontal="left" vertical="center"/>
    </xf>
    <xf numFmtId="0" fontId="22" fillId="16" borderId="60" xfId="0" applyFont="1" applyFill="1" applyBorder="1" applyAlignment="1">
      <alignment horizontal="left" vertical="center"/>
    </xf>
    <xf numFmtId="0" fontId="23" fillId="16" borderId="62" xfId="0" applyFont="1" applyFill="1" applyBorder="1" applyAlignment="1">
      <alignment horizontal="left" vertical="center"/>
    </xf>
    <xf numFmtId="0" fontId="22" fillId="22" borderId="60" xfId="0" applyFont="1" applyFill="1" applyBorder="1" applyAlignment="1">
      <alignment horizontal="left" vertical="center"/>
    </xf>
    <xf numFmtId="0" fontId="23" fillId="22" borderId="62" xfId="0" applyFont="1" applyFill="1" applyBorder="1" applyAlignment="1">
      <alignment horizontal="left" vertical="center"/>
    </xf>
    <xf numFmtId="0" fontId="22" fillId="16" borderId="63" xfId="0" applyFont="1" applyFill="1" applyBorder="1" applyAlignment="1">
      <alignment horizontal="left" vertical="center"/>
    </xf>
    <xf numFmtId="0" fontId="23" fillId="16" borderId="65" xfId="0" applyFont="1" applyFill="1" applyBorder="1" applyAlignment="1">
      <alignment horizontal="left" vertical="center"/>
    </xf>
    <xf numFmtId="0" fontId="8" fillId="21" borderId="66" xfId="0" applyFont="1" applyFill="1" applyBorder="1" applyAlignment="1">
      <alignment horizontal="left" vertical="center"/>
    </xf>
    <xf numFmtId="0" fontId="9" fillId="15" borderId="67" xfId="0" applyFont="1" applyFill="1" applyBorder="1" applyAlignment="1">
      <alignment horizontal="center" vertical="center" wrapText="1"/>
    </xf>
    <xf numFmtId="0" fontId="9" fillId="15" borderId="68" xfId="0" applyFont="1" applyFill="1" applyBorder="1" applyAlignment="1">
      <alignment horizontal="center" vertical="center" wrapText="1"/>
    </xf>
    <xf numFmtId="0" fontId="9" fillId="15" borderId="69" xfId="0" applyFont="1" applyFill="1" applyBorder="1" applyAlignment="1">
      <alignment horizontal="center" vertical="center" wrapText="1"/>
    </xf>
    <xf numFmtId="0" fontId="25" fillId="23" borderId="22" xfId="0" applyFont="1" applyFill="1" applyBorder="1" applyAlignment="1">
      <alignment horizontal="center" vertical="center"/>
    </xf>
    <xf numFmtId="0" fontId="25" fillId="23" borderId="23" xfId="0" applyFont="1" applyFill="1" applyBorder="1" applyAlignment="1">
      <alignment horizontal="center" vertical="center"/>
    </xf>
    <xf numFmtId="0" fontId="25" fillId="23" borderId="24" xfId="0" applyFont="1" applyFill="1" applyBorder="1" applyAlignment="1">
      <alignment horizontal="center" vertical="center"/>
    </xf>
    <xf numFmtId="0" fontId="5" fillId="12" borderId="21" xfId="0" applyFont="1" applyFill="1" applyBorder="1" applyAlignment="1">
      <alignment horizontal="left" vertical="center"/>
    </xf>
    <xf numFmtId="0" fontId="5" fillId="12" borderId="21" xfId="0" applyFont="1" applyFill="1" applyBorder="1"/>
    <xf numFmtId="0" fontId="5" fillId="10" borderId="25" xfId="0" applyFont="1" applyFill="1" applyBorder="1" applyAlignment="1">
      <alignment horizontal="left" vertical="center"/>
    </xf>
    <xf numFmtId="0" fontId="5" fillId="10" borderId="26" xfId="0" applyFont="1" applyFill="1" applyBorder="1" applyAlignment="1">
      <alignment horizontal="left" vertical="center"/>
    </xf>
    <xf numFmtId="0" fontId="5" fillId="10" borderId="27" xfId="0" applyFont="1" applyFill="1" applyBorder="1" applyAlignment="1">
      <alignment horizontal="left" vertical="center"/>
    </xf>
    <xf numFmtId="0" fontId="5" fillId="9" borderId="21" xfId="0" applyFont="1" applyFill="1" applyBorder="1" applyAlignment="1">
      <alignment horizontal="left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0" xfId="0" applyFont="1" applyFill="1"/>
    <xf numFmtId="0" fontId="2" fillId="10" borderId="3" xfId="0" applyFont="1" applyFill="1" applyBorder="1" applyAlignment="1">
      <alignment horizontal="center" vertical="center"/>
    </xf>
    <xf numFmtId="0" fontId="2" fillId="10" borderId="0" xfId="0" applyFont="1" applyFill="1"/>
    <xf numFmtId="0" fontId="26" fillId="21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/>
    </xf>
    <xf numFmtId="0" fontId="8" fillId="21" borderId="28" xfId="0" applyFont="1" applyFill="1" applyBorder="1" applyAlignment="1">
      <alignment horizontal="center" vertical="center"/>
    </xf>
    <xf numFmtId="0" fontId="9" fillId="15" borderId="76" xfId="0" applyFont="1" applyFill="1" applyBorder="1" applyAlignment="1">
      <alignment horizontal="center" vertical="center" wrapText="1"/>
    </xf>
    <xf numFmtId="0" fontId="9" fillId="15" borderId="77" xfId="0" applyFont="1" applyFill="1" applyBorder="1" applyAlignment="1">
      <alignment horizontal="center" vertical="center" wrapText="1"/>
    </xf>
    <xf numFmtId="0" fontId="9" fillId="15" borderId="78" xfId="0" applyFont="1" applyFill="1" applyBorder="1" applyAlignment="1">
      <alignment horizontal="center" vertical="center" wrapText="1"/>
    </xf>
    <xf numFmtId="0" fontId="28" fillId="22" borderId="79" xfId="0" applyFont="1" applyFill="1" applyBorder="1" applyAlignment="1">
      <alignment horizontal="left" vertical="center"/>
    </xf>
    <xf numFmtId="166" fontId="2" fillId="22" borderId="61" xfId="0" applyNumberFormat="1" applyFont="1" applyFill="1" applyBorder="1" applyAlignment="1">
      <alignment horizontal="center" vertical="center"/>
    </xf>
    <xf numFmtId="166" fontId="3" fillId="22" borderId="61" xfId="0" applyNumberFormat="1" applyFont="1" applyFill="1" applyBorder="1" applyAlignment="1">
      <alignment horizontal="center" vertical="center"/>
    </xf>
    <xf numFmtId="166" fontId="3" fillId="22" borderId="80" xfId="0" applyNumberFormat="1" applyFont="1" applyFill="1" applyBorder="1" applyAlignment="1">
      <alignment horizontal="center" vertical="center"/>
    </xf>
    <xf numFmtId="0" fontId="28" fillId="16" borderId="79" xfId="0" applyFont="1" applyFill="1" applyBorder="1" applyAlignment="1">
      <alignment horizontal="left" vertical="center"/>
    </xf>
    <xf numFmtId="166" fontId="2" fillId="16" borderId="61" xfId="0" applyNumberFormat="1" applyFont="1" applyFill="1" applyBorder="1" applyAlignment="1">
      <alignment horizontal="center" vertical="center"/>
    </xf>
    <xf numFmtId="166" fontId="3" fillId="16" borderId="61" xfId="0" applyNumberFormat="1" applyFont="1" applyFill="1" applyBorder="1" applyAlignment="1">
      <alignment horizontal="center" vertical="center"/>
    </xf>
    <xf numFmtId="166" fontId="3" fillId="16" borderId="80" xfId="0" applyNumberFormat="1" applyFont="1" applyFill="1" applyBorder="1" applyAlignment="1">
      <alignment horizontal="center" vertical="center"/>
    </xf>
    <xf numFmtId="0" fontId="25" fillId="24" borderId="81" xfId="0" applyFont="1" applyFill="1" applyBorder="1" applyAlignment="1">
      <alignment horizontal="left" vertical="center"/>
    </xf>
    <xf numFmtId="166" fontId="25" fillId="24" borderId="82" xfId="0" applyNumberFormat="1" applyFont="1" applyFill="1" applyBorder="1" applyAlignment="1">
      <alignment horizontal="center" vertical="center"/>
    </xf>
    <xf numFmtId="166" fontId="25" fillId="24" borderId="83" xfId="0" applyNumberFormat="1" applyFont="1" applyFill="1" applyBorder="1" applyAlignment="1">
      <alignment horizontal="center" vertical="center"/>
    </xf>
    <xf numFmtId="0" fontId="25" fillId="23" borderId="2" xfId="0" applyFont="1" applyFill="1" applyBorder="1" applyAlignment="1">
      <alignment horizontal="left" vertical="center"/>
    </xf>
    <xf numFmtId="0" fontId="25" fillId="23" borderId="0" xfId="0" applyFont="1" applyFill="1"/>
    <xf numFmtId="0" fontId="2" fillId="7" borderId="0" xfId="0" applyFont="1" applyFill="1"/>
    <xf numFmtId="0" fontId="12" fillId="15" borderId="6" xfId="0" applyFont="1" applyFill="1" applyBorder="1" applyAlignment="1">
      <alignment horizontal="center" vertical="center"/>
    </xf>
    <xf numFmtId="0" fontId="8" fillId="21" borderId="84" xfId="0" applyFont="1" applyFill="1" applyBorder="1" applyAlignment="1">
      <alignment horizontal="left" vertical="center"/>
    </xf>
    <xf numFmtId="0" fontId="3" fillId="22" borderId="80" xfId="0" applyFont="1" applyFill="1" applyBorder="1" applyAlignment="1">
      <alignment horizontal="center" vertical="center"/>
    </xf>
    <xf numFmtId="0" fontId="3" fillId="16" borderId="80" xfId="0" applyFont="1" applyFill="1" applyBorder="1" applyAlignment="1">
      <alignment horizontal="center" vertical="center"/>
    </xf>
    <xf numFmtId="0" fontId="25" fillId="24" borderId="83" xfId="0" applyFont="1" applyFill="1" applyBorder="1" applyAlignment="1">
      <alignment horizontal="center"/>
    </xf>
    <xf numFmtId="0" fontId="12" fillId="15" borderId="7" xfId="0" applyFont="1" applyFill="1" applyBorder="1" applyAlignment="1">
      <alignment horizontal="center" vertical="center"/>
    </xf>
    <xf numFmtId="0" fontId="2" fillId="22" borderId="3" xfId="0" applyFont="1" applyFill="1" applyBorder="1" applyAlignment="1">
      <alignment horizontal="center" vertical="center"/>
    </xf>
    <xf numFmtId="0" fontId="2" fillId="16" borderId="3" xfId="0" applyFont="1" applyFill="1" applyBorder="1" applyAlignment="1">
      <alignment horizontal="center" vertical="center"/>
    </xf>
    <xf numFmtId="0" fontId="8" fillId="21" borderId="85" xfId="0" applyFont="1" applyFill="1" applyBorder="1" applyAlignment="1">
      <alignment horizontal="left" vertical="center"/>
    </xf>
    <xf numFmtId="0" fontId="2" fillId="22" borderId="49" xfId="0" applyFont="1" applyFill="1" applyBorder="1" applyAlignment="1">
      <alignment horizontal="center" vertical="center"/>
    </xf>
    <xf numFmtId="0" fontId="2" fillId="16" borderId="52" xfId="0" applyFont="1" applyFill="1" applyBorder="1" applyAlignment="1">
      <alignment horizontal="center" vertical="center"/>
    </xf>
    <xf numFmtId="0" fontId="2" fillId="22" borderId="52" xfId="0" applyFont="1" applyFill="1" applyBorder="1" applyAlignment="1">
      <alignment horizontal="center" vertical="center"/>
    </xf>
    <xf numFmtId="0" fontId="2" fillId="16" borderId="55" xfId="0" applyFont="1" applyFill="1" applyBorder="1" applyAlignment="1">
      <alignment horizontal="center" vertical="center"/>
    </xf>
    <xf numFmtId="165" fontId="22" fillId="24" borderId="5" xfId="0" applyNumberFormat="1" applyFont="1" applyFill="1" applyBorder="1" applyAlignment="1">
      <alignment horizontal="center" vertical="center"/>
    </xf>
    <xf numFmtId="0" fontId="22" fillId="22" borderId="72" xfId="0" applyFont="1" applyFill="1" applyBorder="1" applyAlignment="1">
      <alignment horizontal="left" vertical="center"/>
    </xf>
    <xf numFmtId="0" fontId="22" fillId="16" borderId="72" xfId="0" applyFont="1" applyFill="1" applyBorder="1" applyAlignment="1">
      <alignment horizontal="left" vertical="center"/>
    </xf>
    <xf numFmtId="0" fontId="22" fillId="22" borderId="79" xfId="0" applyFont="1" applyFill="1" applyBorder="1" applyAlignment="1">
      <alignment horizontal="left" vertical="center"/>
    </xf>
    <xf numFmtId="1" fontId="2" fillId="22" borderId="61" xfId="0" applyNumberFormat="1" applyFont="1" applyFill="1" applyBorder="1" applyAlignment="1">
      <alignment horizontal="center" vertical="center"/>
    </xf>
    <xf numFmtId="0" fontId="2" fillId="22" borderId="61" xfId="0" applyFont="1" applyFill="1" applyBorder="1" applyAlignment="1">
      <alignment horizontal="center" vertical="center"/>
    </xf>
    <xf numFmtId="0" fontId="2" fillId="22" borderId="80" xfId="0" applyFont="1" applyFill="1" applyBorder="1" applyAlignment="1">
      <alignment horizontal="center" vertical="center"/>
    </xf>
    <xf numFmtId="1" fontId="2" fillId="16" borderId="61" xfId="0" applyNumberFormat="1" applyFont="1" applyFill="1" applyBorder="1" applyAlignment="1">
      <alignment horizontal="center" vertical="center"/>
    </xf>
    <xf numFmtId="0" fontId="3" fillId="16" borderId="61" xfId="0" applyFont="1" applyFill="1" applyBorder="1" applyAlignment="1">
      <alignment horizontal="center" vertical="center"/>
    </xf>
    <xf numFmtId="0" fontId="3" fillId="22" borderId="61" xfId="0" applyFont="1" applyFill="1" applyBorder="1" applyAlignment="1">
      <alignment horizontal="center" vertical="center"/>
    </xf>
    <xf numFmtId="0" fontId="22" fillId="16" borderId="79" xfId="0" applyFont="1" applyFill="1" applyBorder="1" applyAlignment="1">
      <alignment horizontal="left" vertical="center"/>
    </xf>
    <xf numFmtId="0" fontId="2" fillId="16" borderId="61" xfId="0" applyFont="1" applyFill="1" applyBorder="1" applyAlignment="1">
      <alignment horizontal="center" vertical="center"/>
    </xf>
    <xf numFmtId="0" fontId="2" fillId="16" borderId="80" xfId="0" applyFont="1" applyFill="1" applyBorder="1" applyAlignment="1">
      <alignment horizontal="center" vertical="center"/>
    </xf>
    <xf numFmtId="165" fontId="25" fillId="24" borderId="82" xfId="0" applyNumberFormat="1" applyFont="1" applyFill="1" applyBorder="1" applyAlignment="1">
      <alignment horizontal="center" vertical="center"/>
    </xf>
    <xf numFmtId="0" fontId="25" fillId="24" borderId="82" xfId="0" applyFont="1" applyFill="1" applyBorder="1" applyAlignment="1">
      <alignment horizontal="center" vertical="center"/>
    </xf>
    <xf numFmtId="0" fontId="25" fillId="24" borderId="83" xfId="0" applyFont="1" applyFill="1" applyBorder="1" applyAlignment="1">
      <alignment horizontal="center" vertical="center"/>
    </xf>
    <xf numFmtId="0" fontId="12" fillId="15" borderId="8" xfId="0" applyFont="1" applyFill="1" applyBorder="1" applyAlignment="1">
      <alignment horizontal="center" vertical="center"/>
    </xf>
    <xf numFmtId="0" fontId="8" fillId="21" borderId="86" xfId="0" applyFont="1" applyFill="1" applyBorder="1" applyAlignment="1">
      <alignment horizontal="left" vertical="center"/>
    </xf>
    <xf numFmtId="9" fontId="2" fillId="22" borderId="80" xfId="0" applyNumberFormat="1" applyFont="1" applyFill="1" applyBorder="1" applyAlignment="1">
      <alignment horizontal="center" vertical="center"/>
    </xf>
    <xf numFmtId="9" fontId="2" fillId="16" borderId="80" xfId="0" applyNumberFormat="1" applyFont="1" applyFill="1" applyBorder="1" applyAlignment="1">
      <alignment horizontal="center" vertical="center"/>
    </xf>
    <xf numFmtId="0" fontId="28" fillId="16" borderId="81" xfId="0" applyFont="1" applyFill="1" applyBorder="1" applyAlignment="1">
      <alignment horizontal="left" vertical="center"/>
    </xf>
    <xf numFmtId="166" fontId="2" fillId="16" borderId="82" xfId="0" applyNumberFormat="1" applyFont="1" applyFill="1" applyBorder="1" applyAlignment="1">
      <alignment horizontal="center" vertical="center"/>
    </xf>
    <xf numFmtId="166" fontId="3" fillId="16" borderId="82" xfId="0" applyNumberFormat="1" applyFont="1" applyFill="1" applyBorder="1" applyAlignment="1">
      <alignment horizontal="center" vertical="center"/>
    </xf>
    <xf numFmtId="9" fontId="2" fillId="16" borderId="83" xfId="0" applyNumberFormat="1" applyFont="1" applyFill="1" applyBorder="1" applyAlignment="1">
      <alignment horizontal="center" vertical="center"/>
    </xf>
    <xf numFmtId="0" fontId="8" fillId="21" borderId="87" xfId="0" applyFont="1" applyFill="1" applyBorder="1" applyAlignment="1">
      <alignment horizontal="left" vertical="center"/>
    </xf>
    <xf numFmtId="166" fontId="8" fillId="21" borderId="0" xfId="0" applyNumberFormat="1" applyFont="1" applyFill="1" applyAlignment="1">
      <alignment horizontal="left"/>
    </xf>
    <xf numFmtId="0" fontId="29" fillId="24" borderId="2" xfId="0" applyFont="1" applyFill="1" applyBorder="1" applyAlignment="1">
      <alignment horizontal="left" vertical="center"/>
    </xf>
    <xf numFmtId="166" fontId="29" fillId="24" borderId="9" xfId="0" applyNumberFormat="1" applyFont="1" applyFill="1" applyBorder="1" applyAlignment="1">
      <alignment horizontal="center" vertical="center"/>
    </xf>
    <xf numFmtId="0" fontId="29" fillId="24" borderId="9" xfId="0" applyFont="1" applyFill="1" applyBorder="1" applyAlignment="1">
      <alignment horizontal="center" vertical="center"/>
    </xf>
    <xf numFmtId="166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0" fontId="12" fillId="15" borderId="10" xfId="0" applyFont="1" applyFill="1" applyBorder="1" applyAlignment="1">
      <alignment horizontal="center" vertical="center"/>
    </xf>
    <xf numFmtId="0" fontId="8" fillId="21" borderId="10" xfId="0" applyFont="1" applyFill="1" applyBorder="1" applyAlignment="1">
      <alignment horizontal="left" vertical="center"/>
    </xf>
    <xf numFmtId="0" fontId="3" fillId="5" borderId="88" xfId="0" applyFont="1" applyFill="1" applyBorder="1" applyAlignment="1">
      <alignment horizontal="center" vertical="center"/>
    </xf>
    <xf numFmtId="0" fontId="3" fillId="6" borderId="88" xfId="0" applyFont="1" applyFill="1" applyBorder="1" applyAlignment="1">
      <alignment horizontal="center" vertical="center"/>
    </xf>
    <xf numFmtId="0" fontId="8" fillId="21" borderId="89" xfId="0" applyFont="1" applyFill="1" applyBorder="1" applyAlignment="1">
      <alignment horizontal="left" vertical="center"/>
    </xf>
    <xf numFmtId="0" fontId="3" fillId="22" borderId="58" xfId="0" applyFont="1" applyFill="1" applyBorder="1" applyAlignment="1">
      <alignment horizontal="center" vertical="center"/>
    </xf>
    <xf numFmtId="0" fontId="3" fillId="22" borderId="59" xfId="0" applyFont="1" applyFill="1" applyBorder="1" applyAlignment="1">
      <alignment horizontal="center" vertical="center"/>
    </xf>
    <xf numFmtId="0" fontId="3" fillId="16" borderId="62" xfId="0" applyFont="1" applyFill="1" applyBorder="1" applyAlignment="1">
      <alignment horizontal="center" vertical="center"/>
    </xf>
    <xf numFmtId="0" fontId="3" fillId="22" borderId="62" xfId="0" applyFont="1" applyFill="1" applyBorder="1" applyAlignment="1">
      <alignment horizontal="center" vertical="center"/>
    </xf>
    <xf numFmtId="0" fontId="3" fillId="16" borderId="64" xfId="0" applyFont="1" applyFill="1" applyBorder="1" applyAlignment="1">
      <alignment horizontal="center" vertical="center"/>
    </xf>
    <xf numFmtId="0" fontId="3" fillId="16" borderId="65" xfId="0" applyFont="1" applyFill="1" applyBorder="1" applyAlignment="1">
      <alignment horizontal="center" vertical="center"/>
    </xf>
    <xf numFmtId="165" fontId="2" fillId="22" borderId="5" xfId="0" applyNumberFormat="1" applyFont="1" applyFill="1" applyBorder="1" applyAlignment="1">
      <alignment horizontal="center" vertical="center"/>
    </xf>
    <xf numFmtId="0" fontId="22" fillId="24" borderId="2" xfId="0" applyFont="1" applyFill="1" applyBorder="1" applyAlignment="1">
      <alignment horizontal="left" vertical="center"/>
    </xf>
    <xf numFmtId="0" fontId="30" fillId="24" borderId="2" xfId="0" applyFont="1" applyFill="1" applyBorder="1" applyAlignment="1">
      <alignment horizontal="left" vertical="center"/>
    </xf>
    <xf numFmtId="0" fontId="3" fillId="10" borderId="0" xfId="0" applyFont="1" applyFill="1"/>
    <xf numFmtId="0" fontId="12" fillId="15" borderId="4" xfId="0" applyFont="1" applyFill="1" applyBorder="1" applyAlignment="1">
      <alignment horizontal="center" vertical="center"/>
    </xf>
    <xf numFmtId="0" fontId="22" fillId="22" borderId="54" xfId="0" applyFont="1" applyFill="1" applyBorder="1" applyAlignment="1">
      <alignment horizontal="left" vertical="center"/>
    </xf>
    <xf numFmtId="9" fontId="2" fillId="22" borderId="55" xfId="0" applyNumberFormat="1" applyFont="1" applyFill="1" applyBorder="1" applyAlignment="1">
      <alignment horizontal="center" vertical="center"/>
    </xf>
    <xf numFmtId="0" fontId="23" fillId="22" borderId="56" xfId="0" applyFont="1" applyFill="1" applyBorder="1" applyAlignment="1">
      <alignment horizontal="left" vertical="center"/>
    </xf>
    <xf numFmtId="0" fontId="22" fillId="22" borderId="70" xfId="0" applyFont="1" applyFill="1" applyBorder="1" applyAlignment="1">
      <alignment horizontal="left" vertical="center"/>
    </xf>
    <xf numFmtId="166" fontId="2" fillId="22" borderId="71" xfId="0" applyNumberFormat="1" applyFont="1" applyFill="1" applyBorder="1" applyAlignment="1">
      <alignment horizontal="center" vertical="center"/>
    </xf>
    <xf numFmtId="166" fontId="2" fillId="16" borderId="73" xfId="0" applyNumberFormat="1" applyFont="1" applyFill="1" applyBorder="1" applyAlignment="1">
      <alignment horizontal="center" vertical="center"/>
    </xf>
    <xf numFmtId="166" fontId="2" fillId="22" borderId="73" xfId="0" applyNumberFormat="1" applyFont="1" applyFill="1" applyBorder="1" applyAlignment="1">
      <alignment horizontal="center" vertical="center"/>
    </xf>
    <xf numFmtId="0" fontId="29" fillId="24" borderId="74" xfId="0" applyFont="1" applyFill="1" applyBorder="1" applyAlignment="1">
      <alignment horizontal="left" vertical="center"/>
    </xf>
    <xf numFmtId="166" fontId="29" fillId="24" borderId="7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left" vertical="center"/>
    </xf>
    <xf numFmtId="0" fontId="3" fillId="0" borderId="0" xfId="0" applyFont="1"/>
    <xf numFmtId="164" fontId="2" fillId="3" borderId="3" xfId="0" applyNumberFormat="1" applyFont="1" applyFill="1" applyBorder="1" applyAlignment="1">
      <alignment horizontal="center" vertical="center"/>
    </xf>
    <xf numFmtId="164" fontId="2" fillId="11" borderId="0" xfId="0" applyNumberFormat="1" applyFont="1" applyFill="1"/>
    <xf numFmtId="0" fontId="13" fillId="15" borderId="0" xfId="0" applyFont="1" applyFill="1" applyAlignment="1">
      <alignment horizontal="center" vertical="center"/>
    </xf>
    <xf numFmtId="0" fontId="31" fillId="21" borderId="0" xfId="0" applyFont="1" applyFill="1" applyAlignment="1">
      <alignment horizontal="center"/>
    </xf>
    <xf numFmtId="0" fontId="1" fillId="2" borderId="47" xfId="0" applyFont="1" applyFill="1" applyBorder="1"/>
    <xf numFmtId="0" fontId="17" fillId="21" borderId="0" xfId="0" applyFont="1" applyFill="1" applyAlignment="1">
      <alignment horizontal="left"/>
    </xf>
    <xf numFmtId="3" fontId="3" fillId="22" borderId="61" xfId="0" applyNumberFormat="1" applyFont="1" applyFill="1" applyBorder="1" applyAlignment="1">
      <alignment horizontal="center" vertical="center"/>
    </xf>
    <xf numFmtId="164" fontId="3" fillId="22" borderId="61" xfId="0" applyNumberFormat="1" applyFont="1" applyFill="1" applyBorder="1" applyAlignment="1">
      <alignment horizontal="center" vertical="center"/>
    </xf>
    <xf numFmtId="164" fontId="2" fillId="22" borderId="80" xfId="0" applyNumberFormat="1" applyFont="1" applyFill="1" applyBorder="1" applyAlignment="1">
      <alignment horizontal="center" vertical="center"/>
    </xf>
    <xf numFmtId="3" fontId="3" fillId="16" borderId="61" xfId="0" applyNumberFormat="1" applyFont="1" applyFill="1" applyBorder="1" applyAlignment="1">
      <alignment horizontal="center" vertical="center"/>
    </xf>
    <xf numFmtId="164" fontId="3" fillId="16" borderId="61" xfId="0" applyNumberFormat="1" applyFont="1" applyFill="1" applyBorder="1" applyAlignment="1">
      <alignment horizontal="center" vertical="center"/>
    </xf>
    <xf numFmtId="164" fontId="2" fillId="16" borderId="80" xfId="0" applyNumberFormat="1" applyFont="1" applyFill="1" applyBorder="1" applyAlignment="1">
      <alignment horizontal="center" vertical="center"/>
    </xf>
    <xf numFmtId="164" fontId="25" fillId="24" borderId="82" xfId="0" applyNumberFormat="1" applyFont="1" applyFill="1" applyBorder="1" applyAlignment="1">
      <alignment horizontal="center" vertical="center"/>
    </xf>
    <xf numFmtId="3" fontId="25" fillId="24" borderId="82" xfId="0" applyNumberFormat="1" applyFont="1" applyFill="1" applyBorder="1" applyAlignment="1">
      <alignment horizontal="center" vertical="center"/>
    </xf>
    <xf numFmtId="164" fontId="25" fillId="24" borderId="83" xfId="0" applyNumberFormat="1" applyFont="1" applyFill="1" applyBorder="1" applyAlignment="1">
      <alignment horizontal="center" vertical="center"/>
    </xf>
    <xf numFmtId="164" fontId="2" fillId="22" borderId="61" xfId="0" applyNumberFormat="1" applyFont="1" applyFill="1" applyBorder="1" applyAlignment="1">
      <alignment horizontal="center" vertical="center"/>
    </xf>
    <xf numFmtId="164" fontId="3" fillId="22" borderId="80" xfId="0" applyNumberFormat="1" applyFont="1" applyFill="1" applyBorder="1" applyAlignment="1">
      <alignment horizontal="center" vertical="center"/>
    </xf>
    <xf numFmtId="164" fontId="2" fillId="16" borderId="61" xfId="0" applyNumberFormat="1" applyFont="1" applyFill="1" applyBorder="1" applyAlignment="1">
      <alignment horizontal="center" vertical="center"/>
    </xf>
    <xf numFmtId="164" fontId="3" fillId="16" borderId="80" xfId="0" applyNumberFormat="1" applyFont="1" applyFill="1" applyBorder="1" applyAlignment="1">
      <alignment horizontal="center" vertical="center"/>
    </xf>
    <xf numFmtId="0" fontId="25" fillId="24" borderId="81" xfId="0" applyFont="1" applyFill="1" applyBorder="1" applyAlignment="1">
      <alignment horizontal="left" vertical="center"/>
    </xf>
    <xf numFmtId="0" fontId="25" fillId="24" borderId="82" xfId="0" applyFont="1" applyFill="1" applyBorder="1" applyAlignment="1">
      <alignment horizontal="center"/>
    </xf>
    <xf numFmtId="164" fontId="25" fillId="24" borderId="82" xfId="0" applyNumberFormat="1" applyFont="1" applyFill="1" applyBorder="1" applyAlignment="1">
      <alignment horizontal="center"/>
    </xf>
    <xf numFmtId="0" fontId="8" fillId="15" borderId="4" xfId="0" applyFont="1" applyFill="1" applyBorder="1" applyAlignment="1">
      <alignment horizontal="left" vertical="center"/>
    </xf>
    <xf numFmtId="0" fontId="8" fillId="15" borderId="0" xfId="0" applyFont="1" applyFill="1"/>
    <xf numFmtId="164" fontId="15" fillId="25" borderId="3" xfId="0" applyNumberFormat="1" applyFont="1" applyFill="1" applyBorder="1" applyAlignment="1">
      <alignment horizontal="center" vertical="center"/>
    </xf>
    <xf numFmtId="0" fontId="15" fillId="25" borderId="0" xfId="0" applyFont="1" applyFill="1" applyAlignment="1">
      <alignment horizontal="center"/>
    </xf>
    <xf numFmtId="0" fontId="16" fillId="25" borderId="0" xfId="0" applyFont="1" applyFill="1" applyAlignment="1">
      <alignment horizontal="center"/>
    </xf>
    <xf numFmtId="0" fontId="32" fillId="26" borderId="2" xfId="0" applyFont="1" applyFill="1" applyBorder="1" applyAlignment="1">
      <alignment horizontal="left" vertical="center"/>
    </xf>
    <xf numFmtId="0" fontId="32" fillId="26" borderId="0" xfId="0" applyFont="1" applyFill="1"/>
    <xf numFmtId="164" fontId="33" fillId="26" borderId="2" xfId="0" applyNumberFormat="1" applyFont="1" applyFill="1" applyBorder="1" applyAlignment="1">
      <alignment horizontal="center" vertical="center"/>
    </xf>
    <xf numFmtId="0" fontId="33" fillId="26" borderId="0" xfId="0" applyFont="1" applyFill="1" applyAlignment="1">
      <alignment horizontal="center"/>
    </xf>
    <xf numFmtId="0" fontId="34" fillId="26" borderId="0" xfId="0" applyFont="1" applyFill="1" applyAlignment="1">
      <alignment horizontal="center"/>
    </xf>
    <xf numFmtId="0" fontId="22" fillId="22" borderId="79" xfId="0" applyFont="1" applyFill="1" applyBorder="1" applyAlignment="1">
      <alignment horizontal="center" vertical="center"/>
    </xf>
    <xf numFmtId="1" fontId="3" fillId="22" borderId="61" xfId="0" applyNumberFormat="1" applyFont="1" applyFill="1" applyBorder="1" applyAlignment="1">
      <alignment horizontal="center" vertical="center"/>
    </xf>
    <xf numFmtId="9" fontId="3" fillId="22" borderId="61" xfId="0" applyNumberFormat="1" applyFont="1" applyFill="1" applyBorder="1" applyAlignment="1">
      <alignment horizontal="center" vertical="center"/>
    </xf>
    <xf numFmtId="0" fontId="22" fillId="16" borderId="79" xfId="0" applyFont="1" applyFill="1" applyBorder="1" applyAlignment="1">
      <alignment horizontal="center" vertical="center"/>
    </xf>
    <xf numFmtId="1" fontId="3" fillId="16" borderId="61" xfId="0" applyNumberFormat="1" applyFont="1" applyFill="1" applyBorder="1" applyAlignment="1">
      <alignment horizontal="center" vertical="center"/>
    </xf>
    <xf numFmtId="9" fontId="3" fillId="16" borderId="61" xfId="0" applyNumberFormat="1" applyFont="1" applyFill="1" applyBorder="1" applyAlignment="1">
      <alignment horizontal="center" vertical="center"/>
    </xf>
    <xf numFmtId="0" fontId="25" fillId="24" borderId="81" xfId="0" applyFont="1" applyFill="1" applyBorder="1" applyAlignment="1">
      <alignment horizontal="center" vertical="center"/>
    </xf>
    <xf numFmtId="9" fontId="25" fillId="24" borderId="82" xfId="0" applyNumberFormat="1" applyFont="1" applyFill="1" applyBorder="1" applyAlignment="1">
      <alignment horizontal="center" vertical="center"/>
    </xf>
    <xf numFmtId="0" fontId="19" fillId="13" borderId="0" xfId="0" applyFont="1" applyFill="1"/>
    <xf numFmtId="0" fontId="19" fillId="0" borderId="0" xfId="0" applyFont="1"/>
    <xf numFmtId="0" fontId="19" fillId="14" borderId="0" xfId="0" applyFont="1" applyFill="1"/>
    <xf numFmtId="0" fontId="6" fillId="15" borderId="11" xfId="0" applyFont="1" applyFill="1" applyBorder="1" applyAlignment="1">
      <alignment horizontal="center" vertical="center"/>
    </xf>
    <xf numFmtId="0" fontId="6" fillId="15" borderId="12" xfId="0" applyFont="1" applyFill="1" applyBorder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9" fillId="13" borderId="90" xfId="0" applyFont="1" applyFill="1" applyBorder="1"/>
    <xf numFmtId="0" fontId="19" fillId="13" borderId="91" xfId="0" applyFont="1" applyFill="1" applyBorder="1"/>
    <xf numFmtId="0" fontId="19" fillId="13" borderId="47" xfId="0" applyFont="1" applyFill="1" applyBorder="1"/>
    <xf numFmtId="0" fontId="19" fillId="0" borderId="47" xfId="0" applyFont="1" applyBorder="1"/>
    <xf numFmtId="0" fontId="24" fillId="27" borderId="17" xfId="0" applyFont="1" applyFill="1" applyBorder="1" applyAlignment="1">
      <alignment horizontal="left" vertical="center" wrapText="1" indent="1"/>
    </xf>
    <xf numFmtId="0" fontId="24" fillId="27" borderId="16" xfId="0" applyFont="1" applyFill="1" applyBorder="1" applyAlignment="1">
      <alignment horizontal="center" vertical="center" wrapText="1"/>
    </xf>
    <xf numFmtId="0" fontId="19" fillId="27" borderId="0" xfId="0" applyFont="1" applyFill="1" applyAlignment="1">
      <alignment wrapText="1"/>
    </xf>
    <xf numFmtId="0" fontId="19" fillId="27" borderId="18" xfId="0" applyFont="1" applyFill="1" applyBorder="1" applyAlignment="1">
      <alignment horizontal="left" vertical="center" wrapText="1" indent="1"/>
    </xf>
    <xf numFmtId="0" fontId="19" fillId="27" borderId="15" xfId="0" applyFont="1" applyFill="1" applyBorder="1" applyAlignment="1">
      <alignment horizontal="left" vertical="center" wrapText="1"/>
    </xf>
    <xf numFmtId="0" fontId="24" fillId="27" borderId="18" xfId="0" applyFont="1" applyFill="1" applyBorder="1" applyAlignment="1">
      <alignment horizontal="left" vertical="center" wrapText="1" indent="1"/>
    </xf>
    <xf numFmtId="0" fontId="24" fillId="27" borderId="15" xfId="0" applyFont="1" applyFill="1" applyBorder="1" applyAlignment="1">
      <alignment horizontal="center" vertical="center" wrapText="1"/>
    </xf>
    <xf numFmtId="0" fontId="24" fillId="27" borderId="19" xfId="0" applyFont="1" applyFill="1" applyBorder="1" applyAlignment="1">
      <alignment horizontal="left" vertical="center" wrapText="1" indent="1"/>
    </xf>
    <xf numFmtId="0" fontId="24" fillId="27" borderId="14" xfId="0" applyFont="1" applyFill="1" applyBorder="1" applyAlignment="1">
      <alignment horizontal="center" vertical="center" wrapText="1"/>
    </xf>
    <xf numFmtId="0" fontId="19" fillId="27" borderId="20" xfId="0" applyFont="1" applyFill="1" applyBorder="1" applyAlignment="1">
      <alignment horizontal="left" vertical="center" wrapText="1" indent="1"/>
    </xf>
    <xf numFmtId="0" fontId="19" fillId="27" borderId="13" xfId="0" applyFont="1" applyFill="1" applyBorder="1" applyAlignment="1">
      <alignment horizontal="left" vertical="center" wrapText="1"/>
    </xf>
    <xf numFmtId="0" fontId="24" fillId="27" borderId="0" xfId="0" applyFont="1" applyFill="1" applyAlignment="1">
      <alignment wrapText="1"/>
    </xf>
    <xf numFmtId="0" fontId="19" fillId="27" borderId="0" xfId="0" applyFont="1" applyFill="1"/>
    <xf numFmtId="0" fontId="24" fillId="27" borderId="0" xfId="0" applyFont="1" applyFill="1"/>
    <xf numFmtId="0" fontId="3" fillId="20" borderId="0" xfId="0" applyFont="1" applyFill="1"/>
    <xf numFmtId="0" fontId="3" fillId="20" borderId="0" xfId="0" applyFont="1" applyFill="1" applyAlignment="1">
      <alignment vertical="center"/>
    </xf>
    <xf numFmtId="0" fontId="30" fillId="23" borderId="0" xfId="0" applyFont="1" applyFill="1" applyBorder="1" applyAlignment="1">
      <alignment horizontal="center" vertical="center"/>
    </xf>
    <xf numFmtId="0" fontId="35" fillId="23" borderId="0" xfId="0" applyFont="1" applyFill="1" applyBorder="1" applyAlignment="1">
      <alignment horizontal="center" vertical="center"/>
    </xf>
    <xf numFmtId="0" fontId="3" fillId="20" borderId="47" xfId="0" applyFont="1" applyFill="1" applyBorder="1" applyAlignment="1">
      <alignment vertical="center"/>
    </xf>
    <xf numFmtId="0" fontId="7" fillId="21" borderId="31" xfId="0" applyFont="1" applyFill="1" applyBorder="1" applyAlignment="1">
      <alignment horizontal="center" vertical="center"/>
    </xf>
    <xf numFmtId="0" fontId="7" fillId="21" borderId="29" xfId="0" applyFont="1" applyFill="1" applyBorder="1" applyAlignment="1">
      <alignment horizontal="center" vertical="center"/>
    </xf>
    <xf numFmtId="0" fontId="7" fillId="21" borderId="32" xfId="0" applyFont="1" applyFill="1" applyBorder="1" applyAlignment="1">
      <alignment horizontal="center" vertical="center"/>
    </xf>
    <xf numFmtId="166" fontId="14" fillId="28" borderId="92" xfId="0" applyNumberFormat="1" applyFont="1" applyFill="1" applyBorder="1" applyAlignment="1">
      <alignment horizontal="center" vertical="center"/>
    </xf>
    <xf numFmtId="166" fontId="14" fillId="28" borderId="93" xfId="0" applyNumberFormat="1" applyFont="1" applyFill="1" applyBorder="1" applyAlignment="1">
      <alignment horizontal="center" vertical="center"/>
    </xf>
    <xf numFmtId="166" fontId="14" fillId="28" borderId="94" xfId="0" applyNumberFormat="1" applyFont="1" applyFill="1" applyBorder="1" applyAlignment="1">
      <alignment horizontal="center" vertical="center"/>
    </xf>
    <xf numFmtId="167" fontId="36" fillId="18" borderId="96" xfId="0" applyNumberFormat="1" applyFont="1" applyFill="1" applyBorder="1" applyAlignment="1">
      <alignment horizontal="center" vertical="center"/>
    </xf>
    <xf numFmtId="167" fontId="36" fillId="18" borderId="97" xfId="0" applyNumberFormat="1" applyFont="1" applyFill="1" applyBorder="1" applyAlignment="1">
      <alignment horizontal="center" vertical="center"/>
    </xf>
    <xf numFmtId="167" fontId="36" fillId="18" borderId="98" xfId="0" applyNumberFormat="1" applyFont="1" applyFill="1" applyBorder="1" applyAlignment="1">
      <alignment horizontal="center" vertical="center"/>
    </xf>
    <xf numFmtId="0" fontId="9" fillId="21" borderId="33" xfId="0" applyFont="1" applyFill="1" applyBorder="1" applyAlignment="1">
      <alignment horizontal="center" vertical="center"/>
    </xf>
    <xf numFmtId="0" fontId="9" fillId="21" borderId="34" xfId="0" applyFont="1" applyFill="1" applyBorder="1" applyAlignment="1">
      <alignment horizontal="center" vertical="center"/>
    </xf>
    <xf numFmtId="0" fontId="9" fillId="21" borderId="35" xfId="0" applyFont="1" applyFill="1" applyBorder="1" applyAlignment="1">
      <alignment horizontal="center" vertical="center"/>
    </xf>
    <xf numFmtId="0" fontId="21" fillId="28" borderId="36" xfId="0" applyFont="1" applyFill="1" applyBorder="1" applyAlignment="1">
      <alignment horizontal="center" vertical="center"/>
    </xf>
    <xf numFmtId="0" fontId="21" fillId="28" borderId="37" xfId="0" applyFont="1" applyFill="1" applyBorder="1" applyAlignment="1">
      <alignment horizontal="center" vertical="center"/>
    </xf>
    <xf numFmtId="0" fontId="21" fillId="28" borderId="38" xfId="0" applyFont="1" applyFill="1" applyBorder="1" applyAlignment="1">
      <alignment horizontal="center" vertical="center"/>
    </xf>
    <xf numFmtId="0" fontId="21" fillId="28" borderId="39" xfId="0" applyFont="1" applyFill="1" applyBorder="1" applyAlignment="1">
      <alignment horizontal="center" vertical="center"/>
    </xf>
    <xf numFmtId="0" fontId="37" fillId="26" borderId="40" xfId="0" applyFont="1" applyFill="1" applyBorder="1" applyAlignment="1">
      <alignment horizontal="center" vertical="center"/>
    </xf>
    <xf numFmtId="0" fontId="37" fillId="26" borderId="37" xfId="0" applyFont="1" applyFill="1" applyBorder="1" applyAlignment="1">
      <alignment horizontal="center" vertical="center"/>
    </xf>
    <xf numFmtId="0" fontId="37" fillId="26" borderId="38" xfId="0" applyFont="1" applyFill="1" applyBorder="1" applyAlignment="1">
      <alignment horizontal="center" vertical="center"/>
    </xf>
    <xf numFmtId="0" fontId="21" fillId="28" borderId="41" xfId="0" applyFont="1" applyFill="1" applyBorder="1" applyAlignment="1">
      <alignment horizontal="center" vertical="center"/>
    </xf>
    <xf numFmtId="0" fontId="8" fillId="21" borderId="42" xfId="0" applyFont="1" applyFill="1" applyBorder="1" applyAlignment="1">
      <alignment horizontal="left" vertical="center"/>
    </xf>
    <xf numFmtId="0" fontId="8" fillId="21" borderId="30" xfId="0" applyFont="1" applyFill="1" applyBorder="1" applyAlignment="1">
      <alignment horizontal="left" vertical="center"/>
    </xf>
    <xf numFmtId="0" fontId="8" fillId="21" borderId="43" xfId="0" applyFont="1" applyFill="1" applyBorder="1" applyAlignment="1">
      <alignment horizontal="left" vertical="center"/>
    </xf>
    <xf numFmtId="165" fontId="19" fillId="22" borderId="61" xfId="0" applyNumberFormat="1" applyFont="1" applyFill="1" applyBorder="1" applyAlignment="1">
      <alignment horizontal="center" vertical="center"/>
    </xf>
    <xf numFmtId="0" fontId="19" fillId="22" borderId="80" xfId="0" applyFont="1" applyFill="1" applyBorder="1" applyAlignment="1">
      <alignment horizontal="center" vertical="center"/>
    </xf>
    <xf numFmtId="165" fontId="19" fillId="16" borderId="61" xfId="0" applyNumberFormat="1" applyFont="1" applyFill="1" applyBorder="1" applyAlignment="1">
      <alignment horizontal="center" vertical="center"/>
    </xf>
    <xf numFmtId="0" fontId="19" fillId="16" borderId="80" xfId="0" applyFont="1" applyFill="1" applyBorder="1" applyAlignment="1">
      <alignment horizontal="center" vertical="center"/>
    </xf>
    <xf numFmtId="0" fontId="22" fillId="22" borderId="81" xfId="0" applyFont="1" applyFill="1" applyBorder="1" applyAlignment="1">
      <alignment horizontal="left" vertical="center"/>
    </xf>
    <xf numFmtId="165" fontId="19" fillId="22" borderId="82" xfId="0" applyNumberFormat="1" applyFont="1" applyFill="1" applyBorder="1" applyAlignment="1">
      <alignment horizontal="center" vertical="center"/>
    </xf>
    <xf numFmtId="0" fontId="19" fillId="22" borderId="83" xfId="0" applyFont="1" applyFill="1" applyBorder="1" applyAlignment="1">
      <alignment horizontal="center" vertical="center"/>
    </xf>
    <xf numFmtId="0" fontId="7" fillId="29" borderId="0" xfId="0" applyFont="1" applyFill="1" applyBorder="1" applyAlignment="1">
      <alignment horizontal="left" vertical="center"/>
    </xf>
    <xf numFmtId="0" fontId="7" fillId="29" borderId="44" xfId="0" applyFont="1" applyFill="1" applyBorder="1" applyAlignment="1">
      <alignment horizontal="left" vertical="center"/>
    </xf>
    <xf numFmtId="0" fontId="7" fillId="29" borderId="0" xfId="0" applyFont="1" applyFill="1" applyAlignment="1">
      <alignment horizontal="left" vertical="center"/>
    </xf>
    <xf numFmtId="0" fontId="7" fillId="25" borderId="0" xfId="0" applyFont="1" applyFill="1" applyBorder="1" applyAlignment="1">
      <alignment horizontal="left" vertical="center"/>
    </xf>
    <xf numFmtId="0" fontId="7" fillId="25" borderId="46" xfId="0" applyFont="1" applyFill="1" applyBorder="1" applyAlignment="1">
      <alignment horizontal="left" vertical="center"/>
    </xf>
    <xf numFmtId="0" fontId="7" fillId="29" borderId="99" xfId="0" applyFont="1" applyFill="1" applyBorder="1" applyAlignment="1">
      <alignment horizontal="left" vertical="center"/>
    </xf>
    <xf numFmtId="0" fontId="39" fillId="30" borderId="102" xfId="0" applyFont="1" applyFill="1" applyBorder="1" applyAlignment="1">
      <alignment horizontal="center" vertical="center" wrapText="1"/>
    </xf>
    <xf numFmtId="0" fontId="39" fillId="30" borderId="103" xfId="0" applyFont="1" applyFill="1" applyBorder="1" applyAlignment="1">
      <alignment horizontal="center" vertical="center" wrapText="1"/>
    </xf>
    <xf numFmtId="0" fontId="39" fillId="30" borderId="104" xfId="0" applyFont="1" applyFill="1" applyBorder="1" applyAlignment="1">
      <alignment horizontal="center" vertical="center" wrapText="1"/>
    </xf>
    <xf numFmtId="0" fontId="24" fillId="17" borderId="105" xfId="0" applyFont="1" applyFill="1" applyBorder="1" applyAlignment="1">
      <alignment horizontal="left" vertical="center"/>
    </xf>
    <xf numFmtId="0" fontId="19" fillId="17" borderId="106" xfId="0" applyFont="1" applyFill="1" applyBorder="1" applyAlignment="1">
      <alignment horizontal="center" vertical="center"/>
    </xf>
    <xf numFmtId="3" fontId="24" fillId="17" borderId="106" xfId="0" applyNumberFormat="1" applyFont="1" applyFill="1" applyBorder="1" applyAlignment="1">
      <alignment horizontal="center" vertical="center"/>
    </xf>
    <xf numFmtId="9" fontId="24" fillId="17" borderId="106" xfId="0" applyNumberFormat="1" applyFont="1" applyFill="1" applyBorder="1" applyAlignment="1">
      <alignment horizontal="center" vertical="center"/>
    </xf>
    <xf numFmtId="166" fontId="19" fillId="17" borderId="107" xfId="0" applyNumberFormat="1" applyFont="1" applyFill="1" applyBorder="1" applyAlignment="1">
      <alignment horizontal="center" vertical="center"/>
    </xf>
    <xf numFmtId="0" fontId="24" fillId="16" borderId="105" xfId="0" applyFont="1" applyFill="1" applyBorder="1" applyAlignment="1">
      <alignment horizontal="left" vertical="center"/>
    </xf>
    <xf numFmtId="0" fontId="19" fillId="16" borderId="106" xfId="0" applyFont="1" applyFill="1" applyBorder="1" applyAlignment="1">
      <alignment horizontal="center" vertical="center"/>
    </xf>
    <xf numFmtId="3" fontId="24" fillId="16" borderId="106" xfId="0" applyNumberFormat="1" applyFont="1" applyFill="1" applyBorder="1" applyAlignment="1">
      <alignment horizontal="center" vertical="center"/>
    </xf>
    <xf numFmtId="9" fontId="24" fillId="16" borderId="106" xfId="0" applyNumberFormat="1" applyFont="1" applyFill="1" applyBorder="1" applyAlignment="1">
      <alignment horizontal="center" vertical="center"/>
    </xf>
    <xf numFmtId="166" fontId="19" fillId="16" borderId="107" xfId="0" applyNumberFormat="1" applyFont="1" applyFill="1" applyBorder="1" applyAlignment="1">
      <alignment horizontal="center" vertical="center"/>
    </xf>
    <xf numFmtId="0" fontId="19" fillId="17" borderId="108" xfId="0" applyFont="1" applyFill="1" applyBorder="1" applyAlignment="1">
      <alignment horizontal="left" vertical="center"/>
    </xf>
    <xf numFmtId="0" fontId="19" fillId="17" borderId="109" xfId="0" applyFont="1" applyFill="1" applyBorder="1" applyAlignment="1">
      <alignment horizontal="center" vertical="center"/>
    </xf>
    <xf numFmtId="0" fontId="24" fillId="17" borderId="109" xfId="0" applyFont="1" applyFill="1" applyBorder="1" applyAlignment="1">
      <alignment horizontal="center" vertical="center"/>
    </xf>
    <xf numFmtId="9" fontId="24" fillId="17" borderId="109" xfId="0" applyNumberFormat="1" applyFont="1" applyFill="1" applyBorder="1" applyAlignment="1">
      <alignment horizontal="center" vertical="center"/>
    </xf>
    <xf numFmtId="165" fontId="19" fillId="17" borderId="110" xfId="0" applyNumberFormat="1" applyFont="1" applyFill="1" applyBorder="1" applyAlignment="1">
      <alignment horizontal="center" vertical="center"/>
    </xf>
    <xf numFmtId="0" fontId="38" fillId="31" borderId="100" xfId="0" applyFont="1" applyFill="1" applyBorder="1" applyAlignment="1">
      <alignment horizontal="left" vertical="center"/>
    </xf>
    <xf numFmtId="165" fontId="38" fillId="31" borderId="101" xfId="0" applyNumberFormat="1" applyFont="1" applyFill="1" applyBorder="1" applyAlignment="1">
      <alignment horizontal="center" vertical="center"/>
    </xf>
    <xf numFmtId="0" fontId="38" fillId="31" borderId="45" xfId="0" applyFont="1" applyFill="1" applyBorder="1" applyAlignment="1">
      <alignment horizontal="center" vertical="center"/>
    </xf>
    <xf numFmtId="0" fontId="38" fillId="31" borderId="45" xfId="0" applyFont="1" applyFill="1" applyBorder="1" applyAlignment="1">
      <alignment horizontal="center" vertical="center"/>
    </xf>
    <xf numFmtId="0" fontId="40" fillId="18" borderId="0" xfId="0" applyFont="1" applyFill="1" applyBorder="1" applyAlignment="1">
      <alignment horizontal="center" vertical="center"/>
    </xf>
    <xf numFmtId="0" fontId="41" fillId="19" borderId="0" xfId="0" applyFont="1" applyFill="1" applyBorder="1" applyAlignment="1">
      <alignment horizontal="center" vertical="center"/>
    </xf>
    <xf numFmtId="0" fontId="42" fillId="18" borderId="0" xfId="0" applyFont="1" applyFill="1" applyBorder="1" applyAlignment="1">
      <alignment horizontal="center" vertical="center"/>
    </xf>
    <xf numFmtId="0" fontId="43" fillId="19" borderId="0" xfId="0" applyFont="1" applyFill="1" applyBorder="1" applyAlignment="1">
      <alignment horizontal="center" vertical="center"/>
    </xf>
    <xf numFmtId="0" fontId="6" fillId="25" borderId="0" xfId="0" applyFont="1" applyFill="1" applyBorder="1" applyAlignment="1">
      <alignment horizontal="center" vertical="center"/>
    </xf>
    <xf numFmtId="0" fontId="7" fillId="25" borderId="111" xfId="0" applyFont="1" applyFill="1" applyBorder="1" applyAlignment="1">
      <alignment horizontal="left" vertical="center"/>
    </xf>
    <xf numFmtId="0" fontId="40" fillId="18" borderId="112" xfId="0" applyFont="1" applyFill="1" applyBorder="1" applyAlignment="1">
      <alignment horizontal="center" vertical="center"/>
    </xf>
    <xf numFmtId="0" fontId="20" fillId="32" borderId="95" xfId="0" applyFont="1" applyFill="1" applyBorder="1" applyAlignment="1">
      <alignment horizontal="center" vertical="center"/>
    </xf>
    <xf numFmtId="0" fontId="40" fillId="18" borderId="113" xfId="0" applyFont="1" applyFill="1" applyBorder="1" applyAlignment="1">
      <alignment horizontal="center" vertical="center"/>
    </xf>
    <xf numFmtId="0" fontId="40" fillId="18" borderId="114" xfId="0" applyFont="1" applyFill="1" applyBorder="1" applyAlignment="1">
      <alignment horizontal="center" vertical="center"/>
    </xf>
    <xf numFmtId="0" fontId="41" fillId="19" borderId="115" xfId="0" applyFont="1" applyFill="1" applyBorder="1" applyAlignment="1">
      <alignment horizontal="center" vertical="center"/>
    </xf>
    <xf numFmtId="0" fontId="42" fillId="18" borderId="116" xfId="0" applyFont="1" applyFill="1" applyBorder="1" applyAlignment="1">
      <alignment horizontal="center" vertical="center"/>
    </xf>
    <xf numFmtId="0" fontId="42" fillId="18" borderId="114" xfId="0" applyFont="1" applyFill="1" applyBorder="1" applyAlignment="1">
      <alignment horizontal="center" vertical="center"/>
    </xf>
    <xf numFmtId="164" fontId="6" fillId="25" borderId="117" xfId="0" applyNumberFormat="1" applyFont="1" applyFill="1" applyBorder="1" applyAlignment="1">
      <alignment horizontal="center" vertical="center"/>
    </xf>
    <xf numFmtId="0" fontId="6" fillId="25" borderId="114" xfId="0" applyFont="1" applyFill="1" applyBorder="1" applyAlignment="1">
      <alignment horizontal="center" vertical="center"/>
    </xf>
    <xf numFmtId="0" fontId="18" fillId="32" borderId="118" xfId="0" applyFont="1" applyFill="1" applyBorder="1" applyAlignment="1">
      <alignment horizontal="center" vertical="center"/>
    </xf>
    <xf numFmtId="0" fontId="40" fillId="18" borderId="119" xfId="0" applyFont="1" applyFill="1" applyBorder="1" applyAlignment="1">
      <alignment horizontal="center" vertical="center"/>
    </xf>
    <xf numFmtId="0" fontId="40" fillId="18" borderId="120" xfId="0" applyFont="1" applyFill="1" applyBorder="1" applyAlignment="1">
      <alignment horizontal="center" vertical="center"/>
    </xf>
    <xf numFmtId="0" fontId="41" fillId="19" borderId="120" xfId="0" applyFont="1" applyFill="1" applyBorder="1" applyAlignment="1">
      <alignment horizontal="center" vertical="center"/>
    </xf>
    <xf numFmtId="0" fontId="42" fillId="18" borderId="120" xfId="0" applyFont="1" applyFill="1" applyBorder="1" applyAlignment="1">
      <alignment horizontal="center" vertical="center"/>
    </xf>
    <xf numFmtId="0" fontId="43" fillId="19" borderId="120" xfId="0" applyFont="1" applyFill="1" applyBorder="1" applyAlignment="1">
      <alignment horizontal="center" vertical="center"/>
    </xf>
    <xf numFmtId="0" fontId="6" fillId="25" borderId="120" xfId="0" applyFont="1" applyFill="1" applyBorder="1" applyAlignment="1">
      <alignment horizontal="center" vertical="center"/>
    </xf>
    <xf numFmtId="0" fontId="20" fillId="32" borderId="121" xfId="0" applyFont="1" applyFill="1" applyBorder="1" applyAlignment="1">
      <alignment horizontal="center" vertical="center"/>
    </xf>
    <xf numFmtId="0" fontId="3" fillId="27" borderId="0" xfId="0" applyFont="1" applyFill="1"/>
    <xf numFmtId="0" fontId="5" fillId="12" borderId="21" xfId="0" applyFont="1" applyFill="1" applyBorder="1" applyAlignment="1">
      <alignment horizontal="left" vertical="center"/>
    </xf>
    <xf numFmtId="0" fontId="4" fillId="12" borderId="21" xfId="0" applyFont="1" applyFill="1" applyBorder="1" applyAlignment="1">
      <alignment horizontal="left" vertical="center"/>
    </xf>
    <xf numFmtId="0" fontId="5" fillId="10" borderId="25" xfId="0" applyFont="1" applyFill="1" applyBorder="1" applyAlignment="1">
      <alignment horizontal="left" vertical="center"/>
    </xf>
    <xf numFmtId="0" fontId="44" fillId="21" borderId="28" xfId="0" applyFont="1" applyFill="1" applyBorder="1" applyAlignment="1">
      <alignment horizontal="left" vertical="center"/>
    </xf>
    <xf numFmtId="0" fontId="44" fillId="21" borderId="0" xfId="0" applyFont="1" applyFill="1" applyAlignment="1">
      <alignment horizontal="left"/>
    </xf>
    <xf numFmtId="9" fontId="4" fillId="12" borderId="21" xfId="0" applyNumberFormat="1" applyFont="1" applyFill="1" applyBorder="1" applyAlignment="1">
      <alignment horizontal="left" vertical="center"/>
    </xf>
    <xf numFmtId="6" fontId="4" fillId="12" borderId="21" xfId="0" applyNumberFormat="1" applyFont="1" applyFill="1" applyBorder="1" applyAlignment="1">
      <alignment horizontal="left" vertical="center"/>
    </xf>
    <xf numFmtId="0" fontId="8" fillId="21" borderId="0" xfId="0" applyFont="1" applyFill="1" applyAlignment="1">
      <alignment horizontal="center"/>
    </xf>
    <xf numFmtId="0" fontId="8" fillId="21" borderId="66" xfId="0" applyFont="1" applyFill="1" applyBorder="1" applyAlignment="1">
      <alignment horizontal="center" vertical="center"/>
    </xf>
    <xf numFmtId="0" fontId="19" fillId="16" borderId="80" xfId="0" applyFont="1" applyFill="1" applyBorder="1" applyAlignment="1">
      <alignment horizontal="left" vertical="center"/>
    </xf>
    <xf numFmtId="0" fontId="19" fillId="22" borderId="80" xfId="0" applyFont="1" applyFill="1" applyBorder="1" applyAlignment="1">
      <alignment horizontal="left" vertical="center"/>
    </xf>
    <xf numFmtId="49" fontId="25" fillId="24" borderId="82" xfId="0" applyNumberFormat="1" applyFont="1" applyFill="1" applyBorder="1" applyAlignment="1">
      <alignment horizontal="center" vertical="center"/>
    </xf>
    <xf numFmtId="3" fontId="25" fillId="24" borderId="8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showGridLines="0" tabSelected="1" zoomScale="90" workbookViewId="0">
      <pane ySplit="5" topLeftCell="A6" activePane="bottomLeft" state="frozen"/>
      <selection pane="bottomLeft" activeCell="B2" sqref="B2:N2"/>
    </sheetView>
  </sheetViews>
  <sheetFormatPr defaultRowHeight="21" x14ac:dyDescent="0.35"/>
  <cols>
    <col min="1" max="1" width="2.85546875" style="8" customWidth="1"/>
    <col min="2" max="2" width="23.28515625" style="8" bestFit="1" customWidth="1"/>
    <col min="3" max="3" width="10.140625" style="8" bestFit="1" customWidth="1"/>
    <col min="4" max="4" width="11.140625" style="8" bestFit="1" customWidth="1"/>
    <col min="5" max="5" width="10.7109375" style="8" bestFit="1" customWidth="1"/>
    <col min="6" max="6" width="14.7109375" style="8" bestFit="1" customWidth="1"/>
    <col min="7" max="7" width="8.28515625" style="8" bestFit="1" customWidth="1"/>
    <col min="8" max="8" width="12" style="8" bestFit="1" customWidth="1"/>
    <col min="9" max="14" width="19" style="8" customWidth="1"/>
    <col min="15" max="15" width="2.85546875" style="8" customWidth="1"/>
    <col min="16" max="16384" width="9.140625" style="8"/>
  </cols>
  <sheetData>
    <row r="1" spans="1:15" x14ac:dyDescent="0.35">
      <c r="A1" s="216"/>
      <c r="B1" s="216"/>
      <c r="C1" s="216"/>
      <c r="D1" s="216"/>
      <c r="E1" s="216"/>
      <c r="F1" s="216"/>
      <c r="G1" s="216"/>
      <c r="H1" s="216"/>
      <c r="I1" s="216"/>
      <c r="J1" s="216"/>
      <c r="K1" s="216"/>
      <c r="L1" s="216"/>
      <c r="M1" s="216"/>
      <c r="N1" s="216"/>
      <c r="O1" s="216"/>
    </row>
    <row r="2" spans="1:15" ht="26.25" x14ac:dyDescent="0.35">
      <c r="A2" s="216"/>
      <c r="B2" s="10" t="s">
        <v>0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216"/>
    </row>
    <row r="3" spans="1:15" x14ac:dyDescent="0.35">
      <c r="A3" s="216"/>
      <c r="B3" s="60" t="str">
        <f ca="1">'⚙️ Config'!C5&amp;" — "&amp;'⚙️ Config'!C6&amp;"   |   QA Lead: "&amp;'⚙️ Config'!C7&amp;"   |   Est. Date: "&amp;TEXT(TODAY(),"mmmm d, yyyy")</f>
        <v>Phoenix Platform Modernization — Release 3.0   |   QA Lead: Jane Smith   |   Est. Date: May 25, 2026</v>
      </c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216"/>
    </row>
    <row r="4" spans="1:15" ht="21.75" thickBot="1" x14ac:dyDescent="0.4">
      <c r="A4" s="216"/>
      <c r="B4" s="218" t="s">
        <v>1</v>
      </c>
      <c r="C4" s="219"/>
      <c r="D4" s="219"/>
      <c r="E4" s="219"/>
      <c r="F4" s="219"/>
      <c r="G4" s="219"/>
      <c r="H4" s="219"/>
      <c r="I4" s="219"/>
      <c r="J4" s="219"/>
      <c r="K4" s="219"/>
      <c r="L4" s="219"/>
      <c r="M4" s="219"/>
      <c r="N4" s="219"/>
      <c r="O4" s="216"/>
    </row>
    <row r="5" spans="1:15" ht="22.5" thickTop="1" thickBot="1" x14ac:dyDescent="0.4">
      <c r="A5" s="216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16"/>
    </row>
    <row r="6" spans="1:15" ht="21.75" thickBot="1" x14ac:dyDescent="0.4">
      <c r="A6" s="216"/>
      <c r="B6" s="221" t="s">
        <v>2</v>
      </c>
      <c r="C6" s="222"/>
      <c r="D6" s="222"/>
      <c r="E6" s="222"/>
      <c r="F6" s="222"/>
      <c r="G6" s="223"/>
      <c r="H6" s="217"/>
      <c r="I6" s="221" t="s">
        <v>3</v>
      </c>
      <c r="J6" s="222"/>
      <c r="K6" s="222"/>
      <c r="L6" s="222"/>
      <c r="M6" s="222"/>
      <c r="N6" s="223"/>
      <c r="O6" s="216"/>
    </row>
    <row r="7" spans="1:15" ht="38.25" thickBot="1" x14ac:dyDescent="0.4">
      <c r="A7" s="216"/>
      <c r="B7" s="224">
        <f>'📊 PERT Estimation'!F20</f>
        <v>185.39999999999998</v>
      </c>
      <c r="C7" s="225"/>
      <c r="D7" s="225"/>
      <c r="E7" s="225"/>
      <c r="F7" s="225"/>
      <c r="G7" s="226"/>
      <c r="H7" s="217"/>
      <c r="I7" s="227">
        <f>'💰 Budget Planner'!J30</f>
        <v>384584.55</v>
      </c>
      <c r="J7" s="228"/>
      <c r="K7" s="228"/>
      <c r="L7" s="228"/>
      <c r="M7" s="228"/>
      <c r="N7" s="229"/>
      <c r="O7" s="216"/>
    </row>
    <row r="8" spans="1:15" ht="21.75" thickTop="1" x14ac:dyDescent="0.35">
      <c r="A8" s="216"/>
      <c r="B8" s="217"/>
      <c r="C8" s="217"/>
      <c r="D8" s="217"/>
      <c r="E8" s="217"/>
      <c r="F8" s="217"/>
      <c r="G8" s="217"/>
      <c r="H8" s="217"/>
      <c r="I8" s="217"/>
      <c r="J8" s="217"/>
      <c r="K8" s="217"/>
      <c r="L8" s="217"/>
      <c r="M8" s="217"/>
      <c r="N8" s="217"/>
      <c r="O8" s="216"/>
    </row>
    <row r="9" spans="1:15" ht="21.75" thickBot="1" x14ac:dyDescent="0.4">
      <c r="A9" s="216"/>
      <c r="B9" s="230" t="s">
        <v>4</v>
      </c>
      <c r="C9" s="231"/>
      <c r="D9" s="231"/>
      <c r="E9" s="231"/>
      <c r="F9" s="231"/>
      <c r="G9" s="232"/>
      <c r="H9" s="217"/>
      <c r="I9" s="230" t="s">
        <v>5</v>
      </c>
      <c r="J9" s="231"/>
      <c r="K9" s="231"/>
      <c r="L9" s="231"/>
      <c r="M9" s="231"/>
      <c r="N9" s="232"/>
      <c r="O9" s="216"/>
    </row>
    <row r="10" spans="1:15" ht="26.25" x14ac:dyDescent="0.35">
      <c r="A10" s="216"/>
      <c r="B10" s="233">
        <f>'⚙️ Config'!C12</f>
        <v>5</v>
      </c>
      <c r="C10" s="234"/>
      <c r="D10" s="234"/>
      <c r="E10" s="234"/>
      <c r="F10" s="234"/>
      <c r="G10" s="235"/>
      <c r="H10" s="217"/>
      <c r="I10" s="236">
        <f>'⚙️ Config'!C14</f>
        <v>17.3</v>
      </c>
      <c r="J10" s="234"/>
      <c r="K10" s="234"/>
      <c r="L10" s="234"/>
      <c r="M10" s="234"/>
      <c r="N10" s="235"/>
      <c r="O10" s="216"/>
    </row>
    <row r="11" spans="1:15" x14ac:dyDescent="0.35">
      <c r="A11" s="216"/>
      <c r="B11" s="217"/>
      <c r="C11" s="217"/>
      <c r="D11" s="217"/>
      <c r="E11" s="217"/>
      <c r="F11" s="217"/>
      <c r="G11" s="217"/>
      <c r="H11" s="217"/>
      <c r="I11" s="217"/>
      <c r="J11" s="217"/>
      <c r="K11" s="217"/>
      <c r="L11" s="217"/>
      <c r="M11" s="217"/>
      <c r="N11" s="217"/>
      <c r="O11" s="216"/>
    </row>
    <row r="12" spans="1:15" ht="21.75" thickBot="1" x14ac:dyDescent="0.4">
      <c r="A12" s="216"/>
      <c r="B12" s="230" t="s">
        <v>6</v>
      </c>
      <c r="C12" s="231"/>
      <c r="D12" s="231"/>
      <c r="E12" s="231"/>
      <c r="F12" s="231"/>
      <c r="G12" s="232"/>
      <c r="H12" s="217"/>
      <c r="I12" s="230" t="s">
        <v>7</v>
      </c>
      <c r="J12" s="231"/>
      <c r="K12" s="231"/>
      <c r="L12" s="231"/>
      <c r="M12" s="231"/>
      <c r="N12" s="232"/>
      <c r="O12" s="216"/>
    </row>
    <row r="13" spans="1:15" ht="26.25" x14ac:dyDescent="0.35">
      <c r="A13" s="216"/>
      <c r="B13" s="237" t="str">
        <f>TEXT('📊 PERT Estimation'!H20,"0.0")&amp;" – "&amp;TEXT('📊 PERT Estimation'!I20,"0.0")</f>
        <v>159.9 – 210.9</v>
      </c>
      <c r="C13" s="238"/>
      <c r="D13" s="238"/>
      <c r="E13" s="238"/>
      <c r="F13" s="238"/>
      <c r="G13" s="239"/>
      <c r="H13" s="217"/>
      <c r="I13" s="240">
        <f>'📝 Test Planning'!C15</f>
        <v>280</v>
      </c>
      <c r="J13" s="234"/>
      <c r="K13" s="234"/>
      <c r="L13" s="234"/>
      <c r="M13" s="234"/>
      <c r="N13" s="235"/>
      <c r="O13" s="216"/>
    </row>
    <row r="14" spans="1:15" ht="21.75" thickBot="1" x14ac:dyDescent="0.4">
      <c r="A14" s="216"/>
      <c r="B14" s="217"/>
      <c r="C14" s="217"/>
      <c r="D14" s="217"/>
      <c r="E14" s="217"/>
      <c r="F14" s="217"/>
      <c r="G14" s="217"/>
      <c r="H14" s="217"/>
      <c r="I14" s="217"/>
      <c r="J14" s="217"/>
      <c r="K14" s="217"/>
      <c r="L14" s="217"/>
      <c r="M14" s="217"/>
      <c r="N14" s="217"/>
      <c r="O14" s="216"/>
    </row>
    <row r="15" spans="1:15" ht="22.5" thickTop="1" thickBot="1" x14ac:dyDescent="0.4">
      <c r="A15" s="216"/>
      <c r="B15" s="241" t="s">
        <v>8</v>
      </c>
      <c r="C15" s="242"/>
      <c r="D15" s="242"/>
      <c r="E15" s="242"/>
      <c r="F15" s="242"/>
      <c r="G15" s="242"/>
      <c r="H15" s="243"/>
      <c r="I15" s="242"/>
      <c r="J15" s="242"/>
      <c r="K15" s="242"/>
      <c r="L15" s="242"/>
      <c r="M15" s="242"/>
      <c r="N15" s="242"/>
      <c r="O15" s="216"/>
    </row>
    <row r="16" spans="1:15" x14ac:dyDescent="0.35">
      <c r="A16" s="216"/>
      <c r="B16" s="64" t="s">
        <v>9</v>
      </c>
      <c r="C16" s="65" t="s">
        <v>10</v>
      </c>
      <c r="D16" s="65" t="s">
        <v>11</v>
      </c>
      <c r="E16" s="65" t="s">
        <v>12</v>
      </c>
      <c r="F16" s="65" t="s">
        <v>13</v>
      </c>
      <c r="G16" s="65" t="s">
        <v>14</v>
      </c>
      <c r="H16" s="66" t="s">
        <v>15</v>
      </c>
      <c r="I16" s="217"/>
      <c r="J16" s="217"/>
      <c r="K16" s="217"/>
      <c r="L16" s="217"/>
      <c r="M16" s="217"/>
      <c r="N16" s="217"/>
      <c r="O16" s="216"/>
    </row>
    <row r="17" spans="1:15" x14ac:dyDescent="0.35">
      <c r="A17" s="216"/>
      <c r="B17" s="97" t="s">
        <v>16</v>
      </c>
      <c r="C17" s="244">
        <f>'📊 PERT Estimation'!C20</f>
        <v>88</v>
      </c>
      <c r="D17" s="244">
        <f>'📊 PERT Estimation'!D20</f>
        <v>176</v>
      </c>
      <c r="E17" s="244">
        <f>'📊 PERT Estimation'!E20</f>
        <v>320</v>
      </c>
      <c r="F17" s="244">
        <f>'📊 PERT Estimation'!F20</f>
        <v>185.39999999999998</v>
      </c>
      <c r="G17" s="244">
        <f>'📊 PERT Estimation'!G20</f>
        <v>13</v>
      </c>
      <c r="H17" s="245" t="str">
        <f>'📊 PERT Estimation'!H20&amp;" – "&amp;'📊 PERT Estimation'!I20</f>
        <v>159.9 – 210.9</v>
      </c>
      <c r="I17" s="217"/>
      <c r="J17" s="217"/>
      <c r="K17" s="217"/>
      <c r="L17" s="217"/>
      <c r="M17" s="217"/>
      <c r="N17" s="217"/>
      <c r="O17" s="216"/>
    </row>
    <row r="18" spans="1:15" x14ac:dyDescent="0.35">
      <c r="A18" s="216"/>
      <c r="B18" s="104" t="s">
        <v>17</v>
      </c>
      <c r="C18" s="246">
        <f>'🔺 Three-Point'!C22</f>
        <v>92</v>
      </c>
      <c r="D18" s="246">
        <f>'🔺 Three-Point'!D22</f>
        <v>194</v>
      </c>
      <c r="E18" s="246">
        <f>'🔺 Three-Point'!E22</f>
        <v>388</v>
      </c>
      <c r="F18" s="246">
        <f>'🔺 Three-Point'!F22</f>
        <v>209.39999999999998</v>
      </c>
      <c r="G18" s="246">
        <f>'🔺 Three-Point'!H22</f>
        <v>13.5</v>
      </c>
      <c r="H18" s="312" t="s">
        <v>364</v>
      </c>
      <c r="I18" s="217"/>
      <c r="J18" s="217"/>
      <c r="K18" s="217"/>
      <c r="L18" s="217"/>
      <c r="M18" s="217"/>
      <c r="N18" s="217"/>
      <c r="O18" s="216"/>
    </row>
    <row r="19" spans="1:15" x14ac:dyDescent="0.35">
      <c r="A19" s="216"/>
      <c r="B19" s="97" t="s">
        <v>18</v>
      </c>
      <c r="C19" s="244" t="s">
        <v>19</v>
      </c>
      <c r="D19" s="244">
        <f>'🃏 Story Points'!F33</f>
        <v>497.5</v>
      </c>
      <c r="E19" s="244" t="s">
        <v>19</v>
      </c>
      <c r="F19" s="244">
        <f>'🃏 Story Points'!F33</f>
        <v>497.5</v>
      </c>
      <c r="G19" s="244" t="s">
        <v>19</v>
      </c>
      <c r="H19" s="313" t="s">
        <v>364</v>
      </c>
      <c r="I19" s="217"/>
      <c r="J19" s="217"/>
      <c r="K19" s="217"/>
      <c r="L19" s="217"/>
      <c r="M19" s="217"/>
      <c r="N19" s="217"/>
      <c r="O19" s="216"/>
    </row>
    <row r="20" spans="1:15" x14ac:dyDescent="0.35">
      <c r="A20" s="216"/>
      <c r="B20" s="104" t="s">
        <v>20</v>
      </c>
      <c r="C20" s="246" t="s">
        <v>19</v>
      </c>
      <c r="D20" s="246">
        <f>'🔍 Analogy'!E14</f>
        <v>322</v>
      </c>
      <c r="E20" s="246" t="s">
        <v>19</v>
      </c>
      <c r="F20" s="246">
        <f>'🔍 Analogy'!E14</f>
        <v>322</v>
      </c>
      <c r="G20" s="246" t="s">
        <v>19</v>
      </c>
      <c r="H20" s="247" t="str">
        <f>'🔍 Analogy'!F14</f>
        <v>🟡 Medium</v>
      </c>
      <c r="I20" s="217"/>
      <c r="J20" s="217"/>
      <c r="K20" s="217"/>
      <c r="L20" s="217"/>
      <c r="M20" s="217"/>
      <c r="N20" s="217"/>
      <c r="O20" s="216"/>
    </row>
    <row r="21" spans="1:15" ht="21.75" thickBot="1" x14ac:dyDescent="0.4">
      <c r="A21" s="216"/>
      <c r="B21" s="248" t="s">
        <v>21</v>
      </c>
      <c r="C21" s="249" t="s">
        <v>19</v>
      </c>
      <c r="D21" s="249">
        <f>'📐 UCP'!C34</f>
        <v>2646</v>
      </c>
      <c r="E21" s="249" t="s">
        <v>19</v>
      </c>
      <c r="F21" s="249">
        <f>'📐 UCP'!C34</f>
        <v>2646</v>
      </c>
      <c r="G21" s="249" t="s">
        <v>19</v>
      </c>
      <c r="H21" s="250" t="s">
        <v>365</v>
      </c>
      <c r="I21" s="217"/>
      <c r="J21" s="217"/>
      <c r="K21" s="217"/>
      <c r="L21" s="217"/>
      <c r="M21" s="217"/>
      <c r="N21" s="217"/>
      <c r="O21" s="216"/>
    </row>
    <row r="22" spans="1:15" x14ac:dyDescent="0.35">
      <c r="A22" s="216"/>
      <c r="B22" s="217"/>
      <c r="C22" s="217"/>
      <c r="D22" s="217"/>
      <c r="E22" s="217"/>
      <c r="F22" s="217"/>
      <c r="G22" s="217"/>
      <c r="H22" s="217"/>
      <c r="I22" s="217"/>
      <c r="J22" s="217"/>
      <c r="K22" s="217"/>
      <c r="L22" s="217"/>
      <c r="M22" s="217"/>
      <c r="N22" s="217"/>
      <c r="O22" s="216"/>
    </row>
    <row r="23" spans="1:15" ht="21.75" thickBot="1" x14ac:dyDescent="0.4">
      <c r="A23" s="216"/>
      <c r="B23" s="256" t="s">
        <v>22</v>
      </c>
      <c r="C23" s="251"/>
      <c r="D23" s="251"/>
      <c r="E23" s="251"/>
      <c r="F23" s="252"/>
      <c r="G23" s="253"/>
      <c r="H23" s="217"/>
      <c r="I23" s="284" t="s">
        <v>23</v>
      </c>
      <c r="J23" s="254"/>
      <c r="K23" s="254"/>
      <c r="L23" s="254"/>
      <c r="M23" s="254"/>
      <c r="N23" s="255"/>
      <c r="O23" s="216"/>
    </row>
    <row r="24" spans="1:15" x14ac:dyDescent="0.35">
      <c r="A24" s="216"/>
      <c r="B24" s="257" t="s">
        <v>24</v>
      </c>
      <c r="C24" s="258" t="s">
        <v>25</v>
      </c>
      <c r="D24" s="258" t="s">
        <v>26</v>
      </c>
      <c r="E24" s="258" t="s">
        <v>27</v>
      </c>
      <c r="F24" s="259" t="s">
        <v>28</v>
      </c>
      <c r="G24" s="217"/>
      <c r="H24" s="217"/>
      <c r="I24" s="287" t="str">
        <f>'📊 PERT Estimation'!F20&amp;" hrs"</f>
        <v>185.4 hrs</v>
      </c>
      <c r="J24" s="285"/>
      <c r="K24" s="285"/>
      <c r="L24" s="285"/>
      <c r="M24" s="285"/>
      <c r="N24" s="295"/>
      <c r="O24" s="216"/>
    </row>
    <row r="25" spans="1:15" x14ac:dyDescent="0.35">
      <c r="A25" s="216"/>
      <c r="B25" s="260" t="s">
        <v>29</v>
      </c>
      <c r="C25" s="261" t="s">
        <v>30</v>
      </c>
      <c r="D25" s="262">
        <v>40</v>
      </c>
      <c r="E25" s="263">
        <v>0.6</v>
      </c>
      <c r="F25" s="264">
        <f t="shared" ref="F25:F31" si="0">D25*E25</f>
        <v>24</v>
      </c>
      <c r="G25" s="217"/>
      <c r="H25" s="217"/>
      <c r="I25" s="288"/>
      <c r="J25" s="279"/>
      <c r="K25" s="279"/>
      <c r="L25" s="279"/>
      <c r="M25" s="279"/>
      <c r="N25" s="296"/>
      <c r="O25" s="216"/>
    </row>
    <row r="26" spans="1:15" x14ac:dyDescent="0.35">
      <c r="A26" s="216"/>
      <c r="B26" s="265" t="s">
        <v>31</v>
      </c>
      <c r="C26" s="266" t="s">
        <v>32</v>
      </c>
      <c r="D26" s="267">
        <v>20</v>
      </c>
      <c r="E26" s="268">
        <v>0.4</v>
      </c>
      <c r="F26" s="269">
        <f t="shared" si="0"/>
        <v>8</v>
      </c>
      <c r="G26" s="217"/>
      <c r="H26" s="217"/>
      <c r="I26" s="288"/>
      <c r="J26" s="279"/>
      <c r="K26" s="279"/>
      <c r="L26" s="279"/>
      <c r="M26" s="279"/>
      <c r="N26" s="296"/>
      <c r="O26" s="216"/>
    </row>
    <row r="27" spans="1:15" ht="21.75" thickBot="1" x14ac:dyDescent="0.4">
      <c r="A27" s="216"/>
      <c r="B27" s="260" t="s">
        <v>33</v>
      </c>
      <c r="C27" s="261" t="s">
        <v>32</v>
      </c>
      <c r="D27" s="262">
        <v>16</v>
      </c>
      <c r="E27" s="263">
        <v>0.3</v>
      </c>
      <c r="F27" s="264">
        <f t="shared" si="0"/>
        <v>4.8</v>
      </c>
      <c r="G27" s="217"/>
      <c r="H27" s="217"/>
      <c r="I27" s="289" t="s">
        <v>34</v>
      </c>
      <c r="J27" s="280"/>
      <c r="K27" s="280"/>
      <c r="L27" s="280"/>
      <c r="M27" s="280"/>
      <c r="N27" s="297"/>
      <c r="O27" s="216"/>
    </row>
    <row r="28" spans="1:15" x14ac:dyDescent="0.35">
      <c r="A28" s="216"/>
      <c r="B28" s="265" t="s">
        <v>35</v>
      </c>
      <c r="C28" s="266" t="s">
        <v>30</v>
      </c>
      <c r="D28" s="267">
        <v>24</v>
      </c>
      <c r="E28" s="268">
        <v>0.5</v>
      </c>
      <c r="F28" s="269">
        <f t="shared" si="0"/>
        <v>12</v>
      </c>
      <c r="G28" s="217"/>
      <c r="H28" s="217"/>
      <c r="I28" s="290" t="str">
        <f>ROUND('📊 PERT Estimation'!F20+F32,1)&amp;" hrs (risk-adj)"</f>
        <v>257.6 hrs (risk-adj)</v>
      </c>
      <c r="J28" s="281"/>
      <c r="K28" s="281"/>
      <c r="L28" s="281"/>
      <c r="M28" s="281"/>
      <c r="N28" s="298"/>
      <c r="O28" s="216"/>
    </row>
    <row r="29" spans="1:15" x14ac:dyDescent="0.35">
      <c r="A29" s="216"/>
      <c r="B29" s="260" t="s">
        <v>36</v>
      </c>
      <c r="C29" s="261" t="s">
        <v>37</v>
      </c>
      <c r="D29" s="262">
        <v>12</v>
      </c>
      <c r="E29" s="263">
        <v>0.2</v>
      </c>
      <c r="F29" s="264">
        <f t="shared" si="0"/>
        <v>2.4000000000000004</v>
      </c>
      <c r="G29" s="217"/>
      <c r="H29" s="217"/>
      <c r="I29" s="291"/>
      <c r="J29" s="281"/>
      <c r="K29" s="281"/>
      <c r="L29" s="281"/>
      <c r="M29" s="281"/>
      <c r="N29" s="298"/>
      <c r="O29" s="216"/>
    </row>
    <row r="30" spans="1:15" ht="21.75" thickBot="1" x14ac:dyDescent="0.4">
      <c r="A30" s="216"/>
      <c r="B30" s="265" t="s">
        <v>38</v>
      </c>
      <c r="C30" s="266" t="s">
        <v>32</v>
      </c>
      <c r="D30" s="267">
        <v>20</v>
      </c>
      <c r="E30" s="268">
        <v>0.3</v>
      </c>
      <c r="F30" s="269">
        <f>D30*E30</f>
        <v>6</v>
      </c>
      <c r="G30" s="217"/>
      <c r="H30" s="217"/>
      <c r="I30" s="289" t="str">
        <f>ROUND('📊 PERT Estimation'!F20+F32,1)&amp;" hrs (total with risk)"</f>
        <v>257.6 hrs (total with risk)</v>
      </c>
      <c r="J30" s="282"/>
      <c r="K30" s="282"/>
      <c r="L30" s="282"/>
      <c r="M30" s="282"/>
      <c r="N30" s="299"/>
      <c r="O30" s="216"/>
    </row>
    <row r="31" spans="1:15" ht="21.75" thickBot="1" x14ac:dyDescent="0.4">
      <c r="A31" s="216"/>
      <c r="B31" s="270" t="s">
        <v>39</v>
      </c>
      <c r="C31" s="271" t="s">
        <v>30</v>
      </c>
      <c r="D31" s="272">
        <v>30</v>
      </c>
      <c r="E31" s="273">
        <v>0.5</v>
      </c>
      <c r="F31" s="274">
        <f t="shared" si="0"/>
        <v>15</v>
      </c>
      <c r="G31" s="217"/>
      <c r="H31" s="217"/>
      <c r="I31" s="292">
        <f>'💰 Budget Planner'!J30</f>
        <v>384584.55</v>
      </c>
      <c r="J31" s="283"/>
      <c r="K31" s="283"/>
      <c r="L31" s="283"/>
      <c r="M31" s="283"/>
      <c r="N31" s="300"/>
      <c r="O31" s="216"/>
    </row>
    <row r="32" spans="1:15" x14ac:dyDescent="0.35">
      <c r="A32" s="216"/>
      <c r="B32" s="275" t="s">
        <v>40</v>
      </c>
      <c r="C32" s="277"/>
      <c r="D32" s="277"/>
      <c r="E32" s="278"/>
      <c r="F32" s="276">
        <f>SUM(F25:F31)</f>
        <v>72.199999999999989</v>
      </c>
      <c r="G32" s="217"/>
      <c r="H32" s="217"/>
      <c r="I32" s="293"/>
      <c r="J32" s="283"/>
      <c r="K32" s="283"/>
      <c r="L32" s="283"/>
      <c r="M32" s="283"/>
      <c r="N32" s="300"/>
      <c r="O32" s="216"/>
    </row>
    <row r="33" spans="1:15" ht="21.75" thickBot="1" x14ac:dyDescent="0.4">
      <c r="A33" s="216"/>
      <c r="B33" s="217"/>
      <c r="C33" s="217"/>
      <c r="D33" s="217"/>
      <c r="E33" s="217"/>
      <c r="F33" s="217"/>
      <c r="G33" s="217"/>
      <c r="H33" s="217"/>
      <c r="I33" s="294" t="s">
        <v>41</v>
      </c>
      <c r="J33" s="286"/>
      <c r="K33" s="286"/>
      <c r="L33" s="286"/>
      <c r="M33" s="286"/>
      <c r="N33" s="301"/>
      <c r="O33" s="216"/>
    </row>
    <row r="34" spans="1:15" x14ac:dyDescent="0.35">
      <c r="A34" s="216"/>
      <c r="B34" s="216"/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</row>
    <row r="35" spans="1:15" x14ac:dyDescent="0.35">
      <c r="A35" s="216"/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M35" s="216"/>
      <c r="N35" s="216"/>
      <c r="O35" s="216"/>
    </row>
  </sheetData>
  <mergeCells count="25">
    <mergeCell ref="B32:D32"/>
    <mergeCell ref="I28:N29"/>
    <mergeCell ref="I9:N9"/>
    <mergeCell ref="I33:N33"/>
    <mergeCell ref="I24:N26"/>
    <mergeCell ref="B9:G9"/>
    <mergeCell ref="I23:N23"/>
    <mergeCell ref="B23:G23"/>
    <mergeCell ref="B13:G13"/>
    <mergeCell ref="B15:N15"/>
    <mergeCell ref="I31:N32"/>
    <mergeCell ref="I12:N12"/>
    <mergeCell ref="B10:G10"/>
    <mergeCell ref="B2:N2"/>
    <mergeCell ref="I6:N6"/>
    <mergeCell ref="B7:G7"/>
    <mergeCell ref="I30:N30"/>
    <mergeCell ref="I27:N27"/>
    <mergeCell ref="B12:G12"/>
    <mergeCell ref="B3:N3"/>
    <mergeCell ref="B6:G6"/>
    <mergeCell ref="I10:N10"/>
    <mergeCell ref="I13:N13"/>
    <mergeCell ref="B4:N4"/>
    <mergeCell ref="I7:N7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2.85546875" customWidth="1"/>
    <col min="2" max="2" width="34.28515625" customWidth="1"/>
    <col min="3" max="3" width="38.140625" customWidth="1"/>
    <col min="4" max="4" width="19" customWidth="1"/>
    <col min="5" max="5" width="15.28515625" customWidth="1"/>
    <col min="6" max="6" width="22.85546875" customWidth="1"/>
    <col min="7" max="7" width="2.85546875" customWidth="1"/>
  </cols>
  <sheetData>
    <row r="1" spans="1:7" x14ac:dyDescent="0.25">
      <c r="A1" s="302"/>
      <c r="B1" s="12"/>
      <c r="C1" s="12"/>
      <c r="D1" s="12"/>
      <c r="E1" s="12"/>
      <c r="F1" s="12"/>
      <c r="G1" s="12"/>
    </row>
    <row r="2" spans="1:7" ht="35.1" customHeight="1" thickBot="1" x14ac:dyDescent="0.3">
      <c r="A2" s="12"/>
      <c r="B2" s="17" t="s">
        <v>42</v>
      </c>
      <c r="C2" s="16"/>
      <c r="D2" s="16"/>
      <c r="E2" s="16"/>
      <c r="F2" s="16"/>
      <c r="G2" s="12"/>
    </row>
    <row r="3" spans="1:7" ht="15.75" thickTop="1" x14ac:dyDescent="0.25">
      <c r="A3" s="12"/>
      <c r="B3" s="18"/>
      <c r="C3" s="18"/>
      <c r="D3" s="18"/>
      <c r="E3" s="18"/>
      <c r="F3" s="18"/>
      <c r="G3" s="12"/>
    </row>
    <row r="4" spans="1:7" ht="27.95" customHeight="1" x14ac:dyDescent="0.3">
      <c r="A4" s="12"/>
      <c r="B4" s="63" t="s">
        <v>43</v>
      </c>
      <c r="C4" s="310"/>
      <c r="D4" s="310"/>
      <c r="E4" s="310"/>
      <c r="F4" s="310"/>
      <c r="G4" s="12"/>
    </row>
    <row r="5" spans="1:7" ht="21.95" customHeight="1" x14ac:dyDescent="0.25">
      <c r="A5" s="12"/>
      <c r="B5" s="35" t="s">
        <v>44</v>
      </c>
      <c r="C5" s="303" t="s">
        <v>45</v>
      </c>
      <c r="D5" s="36" t="s">
        <v>46</v>
      </c>
      <c r="E5" s="20"/>
      <c r="F5" s="20"/>
      <c r="G5" s="12"/>
    </row>
    <row r="6" spans="1:7" ht="21.95" customHeight="1" x14ac:dyDescent="0.25">
      <c r="A6" s="12"/>
      <c r="B6" s="37" t="s">
        <v>47</v>
      </c>
      <c r="C6" s="303" t="s">
        <v>48</v>
      </c>
      <c r="D6" s="38" t="s">
        <v>46</v>
      </c>
      <c r="E6" s="23"/>
      <c r="F6" s="23"/>
      <c r="G6" s="12"/>
    </row>
    <row r="7" spans="1:7" ht="21.95" customHeight="1" x14ac:dyDescent="0.25">
      <c r="A7" s="12"/>
      <c r="B7" s="39" t="s">
        <v>49</v>
      </c>
      <c r="C7" s="303" t="s">
        <v>50</v>
      </c>
      <c r="D7" s="40" t="s">
        <v>46</v>
      </c>
      <c r="E7" s="20"/>
      <c r="F7" s="20"/>
      <c r="G7" s="12"/>
    </row>
    <row r="8" spans="1:7" ht="21.95" customHeight="1" x14ac:dyDescent="0.25">
      <c r="A8" s="12"/>
      <c r="B8" s="37" t="s">
        <v>51</v>
      </c>
      <c r="C8" s="303" t="s">
        <v>367</v>
      </c>
      <c r="D8" s="38" t="s">
        <v>46</v>
      </c>
      <c r="E8" s="23"/>
      <c r="F8" s="23"/>
      <c r="G8" s="12"/>
    </row>
    <row r="9" spans="1:7" ht="21.95" customHeight="1" x14ac:dyDescent="0.25">
      <c r="A9" s="12"/>
      <c r="B9" s="39" t="s">
        <v>52</v>
      </c>
      <c r="C9" s="303" t="s">
        <v>53</v>
      </c>
      <c r="D9" s="40" t="s">
        <v>54</v>
      </c>
      <c r="E9" s="20"/>
      <c r="F9" s="20"/>
      <c r="G9" s="12"/>
    </row>
    <row r="10" spans="1:7" ht="21.95" customHeight="1" x14ac:dyDescent="0.25">
      <c r="A10" s="12"/>
      <c r="B10" s="37" t="s">
        <v>55</v>
      </c>
      <c r="C10" s="303" t="s">
        <v>56</v>
      </c>
      <c r="D10" s="38" t="s">
        <v>54</v>
      </c>
      <c r="E10" s="23"/>
      <c r="F10" s="23"/>
      <c r="G10" s="12"/>
    </row>
    <row r="11" spans="1:7" ht="21.95" customHeight="1" x14ac:dyDescent="0.25">
      <c r="A11" s="12"/>
      <c r="B11" s="39" t="s">
        <v>57</v>
      </c>
      <c r="C11" s="303">
        <v>8</v>
      </c>
      <c r="D11" s="40" t="s">
        <v>58</v>
      </c>
      <c r="E11" s="20"/>
      <c r="F11" s="20"/>
      <c r="G11" s="12"/>
    </row>
    <row r="12" spans="1:7" ht="21.95" customHeight="1" x14ac:dyDescent="0.25">
      <c r="A12" s="12"/>
      <c r="B12" s="37" t="s">
        <v>59</v>
      </c>
      <c r="C12" s="303">
        <v>5</v>
      </c>
      <c r="D12" s="38" t="s">
        <v>60</v>
      </c>
      <c r="E12" s="23"/>
      <c r="F12" s="23"/>
      <c r="G12" s="12"/>
    </row>
    <row r="13" spans="1:7" ht="21.95" customHeight="1" thickBot="1" x14ac:dyDescent="0.3">
      <c r="A13" s="12"/>
      <c r="B13" s="39" t="s">
        <v>61</v>
      </c>
      <c r="C13" s="303">
        <v>2</v>
      </c>
      <c r="D13" s="40" t="s">
        <v>62</v>
      </c>
      <c r="E13" s="20"/>
      <c r="F13" s="20"/>
      <c r="G13" s="12"/>
    </row>
    <row r="14" spans="1:7" ht="21.95" customHeight="1" x14ac:dyDescent="0.25">
      <c r="A14" s="12"/>
      <c r="B14" s="41" t="s">
        <v>63</v>
      </c>
      <c r="C14" s="305">
        <f>ROUND((C10-C9)/7,1)</f>
        <v>17.3</v>
      </c>
      <c r="D14" s="42" t="s">
        <v>64</v>
      </c>
      <c r="E14" s="23"/>
      <c r="F14" s="23"/>
      <c r="G14" s="12"/>
    </row>
    <row r="15" spans="1:7" x14ac:dyDescent="0.25">
      <c r="A15" s="12"/>
      <c r="B15" s="12"/>
      <c r="C15" s="12"/>
      <c r="D15" s="12"/>
      <c r="E15" s="12"/>
      <c r="F15" s="12"/>
      <c r="G15" s="12"/>
    </row>
    <row r="16" spans="1:7" x14ac:dyDescent="0.25">
      <c r="A16" s="12"/>
      <c r="B16" s="12"/>
      <c r="C16" s="12"/>
      <c r="D16" s="12"/>
      <c r="E16" s="12"/>
      <c r="F16" s="12"/>
      <c r="G16" s="12"/>
    </row>
    <row r="17" spans="1:7" ht="27.95" customHeight="1" x14ac:dyDescent="0.3">
      <c r="A17" s="12"/>
      <c r="B17" s="311" t="s">
        <v>65</v>
      </c>
      <c r="C17" s="310"/>
      <c r="D17" s="310"/>
      <c r="E17" s="310"/>
      <c r="F17" s="310"/>
      <c r="G17" s="12"/>
    </row>
    <row r="18" spans="1:7" ht="24.95" customHeight="1" x14ac:dyDescent="0.25">
      <c r="A18" s="12"/>
      <c r="B18" s="44" t="s">
        <v>66</v>
      </c>
      <c r="C18" s="45" t="s">
        <v>67</v>
      </c>
      <c r="D18" s="45" t="s">
        <v>68</v>
      </c>
      <c r="E18" s="45" t="s">
        <v>69</v>
      </c>
      <c r="F18" s="46" t="s">
        <v>70</v>
      </c>
      <c r="G18" s="12"/>
    </row>
    <row r="19" spans="1:7" ht="21.95" customHeight="1" x14ac:dyDescent="0.25">
      <c r="A19" s="12"/>
      <c r="B19" s="304" t="s">
        <v>50</v>
      </c>
      <c r="C19" s="304" t="s">
        <v>49</v>
      </c>
      <c r="D19" s="304" t="s">
        <v>71</v>
      </c>
      <c r="E19" s="309">
        <v>95</v>
      </c>
      <c r="F19" s="308">
        <v>0.8</v>
      </c>
      <c r="G19" s="12"/>
    </row>
    <row r="20" spans="1:7" ht="21.95" customHeight="1" x14ac:dyDescent="0.25">
      <c r="A20" s="12"/>
      <c r="B20" s="304" t="s">
        <v>72</v>
      </c>
      <c r="C20" s="304" t="s">
        <v>73</v>
      </c>
      <c r="D20" s="304" t="s">
        <v>71</v>
      </c>
      <c r="E20" s="309">
        <v>90</v>
      </c>
      <c r="F20" s="308">
        <v>1</v>
      </c>
      <c r="G20" s="12"/>
    </row>
    <row r="21" spans="1:7" ht="21.95" customHeight="1" x14ac:dyDescent="0.25">
      <c r="A21" s="12"/>
      <c r="B21" s="304" t="s">
        <v>74</v>
      </c>
      <c r="C21" s="304" t="s">
        <v>75</v>
      </c>
      <c r="D21" s="304" t="s">
        <v>76</v>
      </c>
      <c r="E21" s="309">
        <v>70</v>
      </c>
      <c r="F21" s="308">
        <v>1</v>
      </c>
      <c r="G21" s="12"/>
    </row>
    <row r="22" spans="1:7" ht="21.95" customHeight="1" x14ac:dyDescent="0.25">
      <c r="A22" s="12"/>
      <c r="B22" s="304" t="s">
        <v>77</v>
      </c>
      <c r="C22" s="304" t="s">
        <v>78</v>
      </c>
      <c r="D22" s="304" t="s">
        <v>76</v>
      </c>
      <c r="E22" s="309">
        <v>75</v>
      </c>
      <c r="F22" s="308">
        <v>0.6</v>
      </c>
      <c r="G22" s="12"/>
    </row>
    <row r="23" spans="1:7" ht="21.95" customHeight="1" x14ac:dyDescent="0.25">
      <c r="A23" s="12"/>
      <c r="B23" s="304" t="s">
        <v>79</v>
      </c>
      <c r="C23" s="304" t="s">
        <v>80</v>
      </c>
      <c r="D23" s="304" t="s">
        <v>81</v>
      </c>
      <c r="E23" s="309">
        <v>50</v>
      </c>
      <c r="F23" s="308">
        <v>1</v>
      </c>
      <c r="G23" s="12"/>
    </row>
    <row r="24" spans="1:7" x14ac:dyDescent="0.25">
      <c r="A24" s="12"/>
      <c r="B24" s="12"/>
      <c r="C24" s="12"/>
      <c r="D24" s="12"/>
      <c r="E24" s="12"/>
      <c r="F24" s="12"/>
      <c r="G24" s="12"/>
    </row>
    <row r="25" spans="1:7" x14ac:dyDescent="0.25">
      <c r="A25" s="12"/>
      <c r="B25" s="12"/>
      <c r="C25" s="12"/>
      <c r="D25" s="12"/>
      <c r="E25" s="12"/>
      <c r="F25" s="12"/>
      <c r="G25" s="12"/>
    </row>
    <row r="26" spans="1:7" ht="24.95" customHeight="1" x14ac:dyDescent="0.25">
      <c r="A26" s="47" t="s">
        <v>82</v>
      </c>
      <c r="B26" s="48"/>
      <c r="C26" s="48"/>
      <c r="D26" s="48"/>
      <c r="E26" s="48"/>
      <c r="F26" s="49"/>
      <c r="G26" s="12"/>
    </row>
    <row r="27" spans="1:7" ht="20.100000000000001" customHeight="1" x14ac:dyDescent="0.25">
      <c r="A27" s="6"/>
      <c r="B27" s="306" t="s">
        <v>368</v>
      </c>
      <c r="C27" s="307"/>
      <c r="D27" s="307"/>
      <c r="E27" s="307"/>
      <c r="F27" s="307"/>
      <c r="G27" s="12"/>
    </row>
    <row r="28" spans="1:7" ht="20.100000000000001" customHeight="1" thickBot="1" x14ac:dyDescent="0.3">
      <c r="A28" s="13"/>
      <c r="B28" s="50" t="s">
        <v>83</v>
      </c>
      <c r="C28" s="51"/>
      <c r="D28" s="51"/>
      <c r="E28" s="51"/>
      <c r="F28" s="51"/>
      <c r="G28" s="12"/>
    </row>
    <row r="29" spans="1:7" ht="20.100000000000001" customHeight="1" x14ac:dyDescent="0.25">
      <c r="A29" s="14"/>
      <c r="B29" s="52" t="s">
        <v>84</v>
      </c>
      <c r="C29" s="53"/>
      <c r="D29" s="53"/>
      <c r="E29" s="53"/>
      <c r="F29" s="54"/>
      <c r="G29" s="12"/>
    </row>
    <row r="30" spans="1:7" ht="20.100000000000001" customHeight="1" x14ac:dyDescent="0.25">
      <c r="A30" s="15"/>
      <c r="B30" s="55" t="s">
        <v>85</v>
      </c>
      <c r="C30" s="55"/>
      <c r="D30" s="55"/>
      <c r="E30" s="55"/>
      <c r="F30" s="55"/>
      <c r="G30" s="12"/>
    </row>
  </sheetData>
  <mergeCells count="8">
    <mergeCell ref="B30:F30"/>
    <mergeCell ref="B27:F27"/>
    <mergeCell ref="B4:F4"/>
    <mergeCell ref="B29:F29"/>
    <mergeCell ref="B2:F2"/>
    <mergeCell ref="B17:F17"/>
    <mergeCell ref="B28:F28"/>
    <mergeCell ref="A26:F26"/>
  </mergeCell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80"/>
  <sheetViews>
    <sheetView showGridLines="0" workbookViewId="0">
      <pane ySplit="7" topLeftCell="A8" activePane="bottomLeft" state="frozen"/>
      <selection activeCell="B1" sqref="B1"/>
      <selection pane="bottomLeft" activeCell="A8" sqref="A8"/>
    </sheetView>
  </sheetViews>
  <sheetFormatPr defaultRowHeight="15" x14ac:dyDescent="0.25"/>
  <cols>
    <col min="1" max="1" width="2.85546875" customWidth="1"/>
    <col min="2" max="2" width="38.140625" customWidth="1"/>
    <col min="3" max="3" width="19" customWidth="1"/>
    <col min="4" max="5" width="21" customWidth="1"/>
    <col min="6" max="9" width="17.140625" customWidth="1"/>
    <col min="10" max="10" width="2.85546875" customWidth="1"/>
  </cols>
  <sheetData>
    <row r="1" spans="1:25" x14ac:dyDescent="0.25">
      <c r="A1" s="302"/>
      <c r="B1" s="12"/>
      <c r="C1" s="12"/>
      <c r="D1" s="12"/>
      <c r="E1" s="12"/>
      <c r="F1" s="12"/>
      <c r="G1" s="12"/>
      <c r="H1" s="12"/>
      <c r="I1" s="12"/>
      <c r="J1" s="12"/>
      <c r="K1" s="2"/>
      <c r="L1" s="2"/>
      <c r="M1" s="2"/>
      <c r="N1" s="2"/>
      <c r="O1" s="2"/>
      <c r="P1" s="2"/>
      <c r="Q1" s="2"/>
      <c r="R1" s="2"/>
    </row>
    <row r="2" spans="1:25" ht="35.1" customHeight="1" x14ac:dyDescent="0.25">
      <c r="A2" s="12"/>
      <c r="B2" s="9" t="s">
        <v>86</v>
      </c>
      <c r="C2" s="16"/>
      <c r="D2" s="16"/>
      <c r="E2" s="16"/>
      <c r="F2" s="16"/>
      <c r="G2" s="16"/>
      <c r="H2" s="16"/>
      <c r="I2" s="16"/>
      <c r="J2" s="12"/>
      <c r="K2" s="2"/>
      <c r="L2" s="2"/>
      <c r="M2" s="2"/>
      <c r="N2" s="2"/>
      <c r="O2" s="2"/>
      <c r="P2" s="2"/>
      <c r="Q2" s="2"/>
      <c r="R2" s="2"/>
    </row>
    <row r="3" spans="1:25" ht="24.95" customHeight="1" thickBot="1" x14ac:dyDescent="0.3">
      <c r="A3" s="12"/>
      <c r="B3" s="61" t="s">
        <v>369</v>
      </c>
      <c r="C3" s="62"/>
      <c r="D3" s="62"/>
      <c r="E3" s="62"/>
      <c r="F3" s="62"/>
      <c r="G3" s="62"/>
      <c r="H3" s="62"/>
      <c r="I3" s="62"/>
      <c r="J3" s="12"/>
      <c r="K3" s="2"/>
      <c r="L3" s="2"/>
      <c r="M3" s="2"/>
      <c r="N3" s="2"/>
      <c r="O3" s="2"/>
      <c r="P3" s="2"/>
      <c r="Q3" s="2"/>
      <c r="R3" s="2"/>
    </row>
    <row r="4" spans="1:25" ht="8.1" customHeight="1" thickTop="1" x14ac:dyDescent="0.25">
      <c r="A4" s="12"/>
      <c r="B4" s="18"/>
      <c r="C4" s="18"/>
      <c r="D4" s="18"/>
      <c r="E4" s="18"/>
      <c r="F4" s="18"/>
      <c r="G4" s="18"/>
      <c r="H4" s="18"/>
      <c r="I4" s="18"/>
      <c r="J4" s="12"/>
      <c r="K4" s="2"/>
      <c r="L4" s="2"/>
      <c r="M4" s="2"/>
      <c r="N4" s="2"/>
      <c r="O4" s="2"/>
      <c r="P4" s="2"/>
      <c r="Q4" s="2"/>
    </row>
    <row r="5" spans="1:25" ht="9.9499999999999993" customHeight="1" x14ac:dyDescent="0.25">
      <c r="A5" s="12"/>
      <c r="B5" s="12"/>
      <c r="C5" s="12"/>
      <c r="D5" s="12"/>
      <c r="E5" s="12"/>
      <c r="F5" s="12"/>
      <c r="G5" s="12"/>
      <c r="H5" s="12"/>
      <c r="I5" s="12"/>
      <c r="J5" s="12"/>
      <c r="K5" s="2"/>
      <c r="L5" s="2"/>
      <c r="M5" s="2"/>
      <c r="N5" s="2"/>
      <c r="O5" s="2"/>
      <c r="P5" s="4"/>
      <c r="Q5" s="4"/>
      <c r="R5" s="4"/>
      <c r="S5" s="4"/>
      <c r="T5" s="4"/>
    </row>
    <row r="6" spans="1:25" ht="27.95" customHeight="1" thickBot="1" x14ac:dyDescent="0.35">
      <c r="A6" s="12"/>
      <c r="B6" s="26" t="s">
        <v>87</v>
      </c>
      <c r="C6" s="19"/>
      <c r="D6" s="19"/>
      <c r="E6" s="19"/>
      <c r="F6" s="19"/>
      <c r="G6" s="19"/>
      <c r="H6" s="19"/>
      <c r="I6" s="19"/>
      <c r="J6" s="12"/>
      <c r="K6" s="2"/>
      <c r="L6" s="2"/>
      <c r="M6" s="2"/>
      <c r="N6" s="2"/>
      <c r="O6" s="2"/>
      <c r="P6" s="4"/>
      <c r="Q6" s="4"/>
      <c r="R6" s="4"/>
      <c r="S6" s="4"/>
      <c r="T6" s="4"/>
    </row>
    <row r="7" spans="1:25" ht="27.95" customHeight="1" x14ac:dyDescent="0.25">
      <c r="A7" s="12"/>
      <c r="B7" s="64" t="s">
        <v>88</v>
      </c>
      <c r="C7" s="65" t="s">
        <v>89</v>
      </c>
      <c r="D7" s="65" t="s">
        <v>90</v>
      </c>
      <c r="E7" s="65" t="s">
        <v>91</v>
      </c>
      <c r="F7" s="65" t="s">
        <v>92</v>
      </c>
      <c r="G7" s="65" t="s">
        <v>93</v>
      </c>
      <c r="H7" s="65" t="s">
        <v>94</v>
      </c>
      <c r="I7" s="66" t="s">
        <v>95</v>
      </c>
      <c r="J7" s="12"/>
      <c r="K7" s="4"/>
      <c r="L7" s="4"/>
      <c r="M7" s="4"/>
      <c r="N7" s="4"/>
      <c r="O7" s="4"/>
      <c r="P7" s="4"/>
      <c r="Q7" s="4"/>
      <c r="R7" s="4"/>
      <c r="S7" s="4"/>
      <c r="T7" s="4"/>
      <c r="U7" s="5"/>
      <c r="V7" s="5"/>
      <c r="W7" s="5"/>
      <c r="X7" s="5"/>
      <c r="Y7" s="5"/>
    </row>
    <row r="8" spans="1:25" ht="21.95" customHeight="1" x14ac:dyDescent="0.25">
      <c r="A8" s="12"/>
      <c r="B8" s="67" t="s">
        <v>96</v>
      </c>
      <c r="C8" s="68">
        <v>4</v>
      </c>
      <c r="D8" s="68">
        <v>8</v>
      </c>
      <c r="E8" s="68">
        <v>16</v>
      </c>
      <c r="F8" s="69">
        <f t="shared" ref="F8:F19" si="0">ROUND((C8+4*D8+E8)/6,1)</f>
        <v>8.6999999999999993</v>
      </c>
      <c r="G8" s="69">
        <f t="shared" ref="G8:G19" si="1">ROUND((E8-C8)/6,1)</f>
        <v>2</v>
      </c>
      <c r="H8" s="69">
        <f t="shared" ref="H8:H20" si="2">ROUND(F8-1.96*G8,1)</f>
        <v>4.8</v>
      </c>
      <c r="I8" s="70">
        <f t="shared" ref="I8:I20" si="3">ROUND(F8+1.96*G8,1)</f>
        <v>12.6</v>
      </c>
      <c r="J8" s="12"/>
      <c r="K8" s="4"/>
      <c r="L8" s="4"/>
      <c r="M8" s="4"/>
      <c r="N8" s="4"/>
      <c r="O8" s="4"/>
      <c r="P8" s="4"/>
      <c r="Q8" s="4"/>
      <c r="R8" s="4"/>
      <c r="S8" s="4"/>
      <c r="T8" s="4"/>
      <c r="U8" s="5"/>
      <c r="V8" s="5"/>
      <c r="W8" s="5"/>
      <c r="X8" s="5"/>
      <c r="Y8" s="5"/>
    </row>
    <row r="9" spans="1:25" ht="21.95" customHeight="1" x14ac:dyDescent="0.25">
      <c r="A9" s="12"/>
      <c r="B9" s="71" t="s">
        <v>97</v>
      </c>
      <c r="C9" s="72">
        <v>8</v>
      </c>
      <c r="D9" s="72">
        <v>16</v>
      </c>
      <c r="E9" s="72">
        <v>32</v>
      </c>
      <c r="F9" s="73">
        <f t="shared" si="0"/>
        <v>17.3</v>
      </c>
      <c r="G9" s="73">
        <f t="shared" si="1"/>
        <v>4</v>
      </c>
      <c r="H9" s="73">
        <f t="shared" si="2"/>
        <v>9.5</v>
      </c>
      <c r="I9" s="74">
        <f t="shared" si="3"/>
        <v>25.1</v>
      </c>
      <c r="J9" s="12"/>
      <c r="K9" s="4"/>
      <c r="L9" s="4"/>
      <c r="M9" s="4"/>
      <c r="N9" s="4"/>
      <c r="O9" s="4"/>
      <c r="P9" s="4"/>
      <c r="Q9" s="4"/>
      <c r="R9" s="4"/>
      <c r="S9" s="4"/>
      <c r="T9" s="4"/>
      <c r="U9" s="5"/>
      <c r="V9" s="5"/>
      <c r="W9" s="5"/>
      <c r="X9" s="5"/>
      <c r="Y9" s="5"/>
    </row>
    <row r="10" spans="1:25" ht="21.95" customHeight="1" x14ac:dyDescent="0.25">
      <c r="A10" s="12"/>
      <c r="B10" s="67" t="s">
        <v>98</v>
      </c>
      <c r="C10" s="68">
        <v>4</v>
      </c>
      <c r="D10" s="68">
        <v>8</v>
      </c>
      <c r="E10" s="68">
        <v>16</v>
      </c>
      <c r="F10" s="69">
        <f t="shared" si="0"/>
        <v>8.6999999999999993</v>
      </c>
      <c r="G10" s="69">
        <f t="shared" si="1"/>
        <v>2</v>
      </c>
      <c r="H10" s="69">
        <f t="shared" si="2"/>
        <v>4.8</v>
      </c>
      <c r="I10" s="70">
        <f t="shared" si="3"/>
        <v>12.6</v>
      </c>
      <c r="J10" s="12"/>
      <c r="K10" s="4"/>
      <c r="L10" s="4"/>
      <c r="M10" s="4"/>
      <c r="N10" s="4"/>
      <c r="O10" s="4"/>
      <c r="P10" s="4"/>
      <c r="Q10" s="4"/>
      <c r="R10" s="4"/>
      <c r="S10" s="4"/>
      <c r="T10" s="4"/>
      <c r="U10" s="5"/>
      <c r="V10" s="5"/>
      <c r="W10" s="5"/>
      <c r="X10" s="5"/>
      <c r="Y10" s="5"/>
    </row>
    <row r="11" spans="1:25" ht="21.95" customHeight="1" x14ac:dyDescent="0.25">
      <c r="A11" s="12"/>
      <c r="B11" s="71" t="s">
        <v>99</v>
      </c>
      <c r="C11" s="72">
        <v>2</v>
      </c>
      <c r="D11" s="72">
        <v>4</v>
      </c>
      <c r="E11" s="72">
        <v>8</v>
      </c>
      <c r="F11" s="73">
        <f t="shared" si="0"/>
        <v>4.3</v>
      </c>
      <c r="G11" s="73">
        <f t="shared" si="1"/>
        <v>1</v>
      </c>
      <c r="H11" s="73">
        <f t="shared" si="2"/>
        <v>2.2999999999999998</v>
      </c>
      <c r="I11" s="74">
        <f t="shared" si="3"/>
        <v>6.3</v>
      </c>
      <c r="J11" s="12"/>
      <c r="K11" s="2"/>
      <c r="L11" s="2"/>
      <c r="M11" s="2"/>
      <c r="N11" s="2"/>
      <c r="O11" s="2"/>
      <c r="P11" s="2"/>
      <c r="Q11" s="2"/>
      <c r="R11" s="2"/>
    </row>
    <row r="12" spans="1:25" ht="21.95" customHeight="1" x14ac:dyDescent="0.25">
      <c r="A12" s="12"/>
      <c r="B12" s="67" t="s">
        <v>100</v>
      </c>
      <c r="C12" s="68">
        <v>20</v>
      </c>
      <c r="D12" s="68">
        <v>40</v>
      </c>
      <c r="E12" s="68">
        <v>64</v>
      </c>
      <c r="F12" s="69">
        <f t="shared" si="0"/>
        <v>40.700000000000003</v>
      </c>
      <c r="G12" s="69">
        <f t="shared" si="1"/>
        <v>7.3</v>
      </c>
      <c r="H12" s="69">
        <f t="shared" si="2"/>
        <v>26.4</v>
      </c>
      <c r="I12" s="70">
        <f t="shared" si="3"/>
        <v>55</v>
      </c>
      <c r="J12" s="12"/>
      <c r="K12" s="2"/>
      <c r="L12" s="2"/>
      <c r="M12" s="2"/>
      <c r="N12" s="2"/>
      <c r="O12" s="2"/>
      <c r="P12" s="2"/>
      <c r="Q12" s="2"/>
      <c r="R12" s="2"/>
    </row>
    <row r="13" spans="1:25" ht="21.95" customHeight="1" x14ac:dyDescent="0.25">
      <c r="A13" s="12"/>
      <c r="B13" s="71" t="s">
        <v>101</v>
      </c>
      <c r="C13" s="72">
        <v>16</v>
      </c>
      <c r="D13" s="72">
        <v>32</v>
      </c>
      <c r="E13" s="72">
        <v>56</v>
      </c>
      <c r="F13" s="73">
        <f t="shared" si="0"/>
        <v>33.299999999999997</v>
      </c>
      <c r="G13" s="73">
        <f t="shared" si="1"/>
        <v>6.7</v>
      </c>
      <c r="H13" s="73">
        <f t="shared" si="2"/>
        <v>20.2</v>
      </c>
      <c r="I13" s="74">
        <f t="shared" si="3"/>
        <v>46.4</v>
      </c>
      <c r="J13" s="12"/>
      <c r="K13" s="2"/>
      <c r="L13" s="2"/>
      <c r="M13" s="2"/>
      <c r="N13" s="2"/>
      <c r="O13" s="2"/>
      <c r="P13" s="2"/>
      <c r="Q13" s="2"/>
      <c r="R13" s="2"/>
    </row>
    <row r="14" spans="1:25" ht="21.95" customHeight="1" x14ac:dyDescent="0.25">
      <c r="A14" s="12"/>
      <c r="B14" s="67" t="s">
        <v>102</v>
      </c>
      <c r="C14" s="68">
        <v>8</v>
      </c>
      <c r="D14" s="68">
        <v>16</v>
      </c>
      <c r="E14" s="68">
        <v>28</v>
      </c>
      <c r="F14" s="69">
        <f t="shared" si="0"/>
        <v>16.7</v>
      </c>
      <c r="G14" s="69">
        <f t="shared" si="1"/>
        <v>3.3</v>
      </c>
      <c r="H14" s="69">
        <f t="shared" si="2"/>
        <v>10.199999999999999</v>
      </c>
      <c r="I14" s="70">
        <f t="shared" si="3"/>
        <v>23.2</v>
      </c>
      <c r="J14" s="12"/>
      <c r="K14" s="2"/>
      <c r="L14" s="2"/>
      <c r="M14" s="2"/>
      <c r="N14" s="2"/>
      <c r="O14" s="2"/>
      <c r="P14" s="2"/>
      <c r="Q14" s="2"/>
      <c r="R14" s="2"/>
    </row>
    <row r="15" spans="1:25" ht="21.95" customHeight="1" x14ac:dyDescent="0.25">
      <c r="A15" s="12"/>
      <c r="B15" s="71" t="s">
        <v>103</v>
      </c>
      <c r="C15" s="72">
        <v>8</v>
      </c>
      <c r="D15" s="72">
        <v>16</v>
      </c>
      <c r="E15" s="72">
        <v>32</v>
      </c>
      <c r="F15" s="73">
        <f t="shared" si="0"/>
        <v>17.3</v>
      </c>
      <c r="G15" s="73">
        <f t="shared" si="1"/>
        <v>4</v>
      </c>
      <c r="H15" s="73">
        <f t="shared" si="2"/>
        <v>9.5</v>
      </c>
      <c r="I15" s="74">
        <f t="shared" si="3"/>
        <v>25.1</v>
      </c>
      <c r="J15" s="12"/>
      <c r="K15" s="2"/>
      <c r="L15" s="2"/>
      <c r="M15" s="2"/>
      <c r="N15" s="2"/>
      <c r="O15" s="2"/>
      <c r="P15" s="2"/>
      <c r="Q15" s="2"/>
      <c r="R15" s="2"/>
    </row>
    <row r="16" spans="1:25" ht="21.95" customHeight="1" x14ac:dyDescent="0.25">
      <c r="A16" s="12"/>
      <c r="B16" s="67" t="s">
        <v>104</v>
      </c>
      <c r="C16" s="68">
        <v>4</v>
      </c>
      <c r="D16" s="68">
        <v>8</v>
      </c>
      <c r="E16" s="68">
        <v>16</v>
      </c>
      <c r="F16" s="69">
        <f t="shared" si="0"/>
        <v>8.6999999999999993</v>
      </c>
      <c r="G16" s="69">
        <f t="shared" si="1"/>
        <v>2</v>
      </c>
      <c r="H16" s="69">
        <f t="shared" si="2"/>
        <v>4.8</v>
      </c>
      <c r="I16" s="70">
        <f t="shared" si="3"/>
        <v>12.6</v>
      </c>
      <c r="J16" s="12"/>
      <c r="K16" s="2"/>
      <c r="L16" s="2"/>
      <c r="M16" s="2"/>
      <c r="N16" s="2"/>
      <c r="O16" s="2"/>
      <c r="P16" s="2"/>
      <c r="Q16" s="2"/>
      <c r="R16" s="2"/>
    </row>
    <row r="17" spans="1:18" ht="21.95" customHeight="1" x14ac:dyDescent="0.25">
      <c r="A17" s="12"/>
      <c r="B17" s="71" t="s">
        <v>105</v>
      </c>
      <c r="C17" s="72">
        <v>8</v>
      </c>
      <c r="D17" s="72">
        <v>16</v>
      </c>
      <c r="E17" s="72">
        <v>28</v>
      </c>
      <c r="F17" s="73">
        <f t="shared" si="0"/>
        <v>16.7</v>
      </c>
      <c r="G17" s="73">
        <f t="shared" si="1"/>
        <v>3.3</v>
      </c>
      <c r="H17" s="73">
        <f t="shared" si="2"/>
        <v>10.199999999999999</v>
      </c>
      <c r="I17" s="74">
        <f t="shared" si="3"/>
        <v>23.2</v>
      </c>
      <c r="J17" s="12"/>
      <c r="K17" s="2"/>
      <c r="L17" s="2"/>
      <c r="M17" s="2"/>
      <c r="N17" s="2"/>
      <c r="O17" s="2"/>
      <c r="P17" s="2"/>
      <c r="Q17" s="2"/>
      <c r="R17" s="2"/>
    </row>
    <row r="18" spans="1:18" ht="21.95" customHeight="1" x14ac:dyDescent="0.25">
      <c r="A18" s="12"/>
      <c r="B18" s="67" t="s">
        <v>106</v>
      </c>
      <c r="C18" s="68">
        <v>4</v>
      </c>
      <c r="D18" s="68">
        <v>8</v>
      </c>
      <c r="E18" s="68">
        <v>16</v>
      </c>
      <c r="F18" s="69">
        <f t="shared" si="0"/>
        <v>8.6999999999999993</v>
      </c>
      <c r="G18" s="69">
        <f t="shared" si="1"/>
        <v>2</v>
      </c>
      <c r="H18" s="69">
        <f t="shared" si="2"/>
        <v>4.8</v>
      </c>
      <c r="I18" s="70">
        <f t="shared" si="3"/>
        <v>12.6</v>
      </c>
      <c r="J18" s="12"/>
      <c r="K18" s="2"/>
      <c r="L18" s="2"/>
      <c r="M18" s="2"/>
      <c r="N18" s="2"/>
      <c r="O18" s="2"/>
      <c r="P18" s="2"/>
      <c r="Q18" s="2"/>
      <c r="R18" s="2"/>
    </row>
    <row r="19" spans="1:18" ht="21.95" customHeight="1" x14ac:dyDescent="0.25">
      <c r="A19" s="12"/>
      <c r="B19" s="71" t="s">
        <v>107</v>
      </c>
      <c r="C19" s="72">
        <v>2</v>
      </c>
      <c r="D19" s="72">
        <v>4</v>
      </c>
      <c r="E19" s="72">
        <v>8</v>
      </c>
      <c r="F19" s="73">
        <f t="shared" si="0"/>
        <v>4.3</v>
      </c>
      <c r="G19" s="73">
        <f t="shared" si="1"/>
        <v>1</v>
      </c>
      <c r="H19" s="73">
        <f t="shared" si="2"/>
        <v>2.2999999999999998</v>
      </c>
      <c r="I19" s="74">
        <f t="shared" si="3"/>
        <v>6.3</v>
      </c>
      <c r="J19" s="12"/>
      <c r="K19" s="2"/>
      <c r="L19" s="2"/>
      <c r="M19" s="2"/>
      <c r="N19" s="2"/>
      <c r="O19" s="2"/>
      <c r="P19" s="2"/>
      <c r="Q19" s="2"/>
      <c r="R19" s="2"/>
    </row>
    <row r="20" spans="1:18" ht="27.95" customHeight="1" thickBot="1" x14ac:dyDescent="0.3">
      <c r="A20" s="12"/>
      <c r="B20" s="75" t="s">
        <v>108</v>
      </c>
      <c r="C20" s="76">
        <f>SUM(C8:C19)</f>
        <v>88</v>
      </c>
      <c r="D20" s="76">
        <f>SUM(D8:D19)</f>
        <v>176</v>
      </c>
      <c r="E20" s="76">
        <f>SUM(E8:E19)</f>
        <v>320</v>
      </c>
      <c r="F20" s="76">
        <f>SUM(F8:F19)</f>
        <v>185.39999999999998</v>
      </c>
      <c r="G20" s="76">
        <f>ROUND(SQRT(SUMPRODUCT(G8:G19,G8:G19)),1)</f>
        <v>13</v>
      </c>
      <c r="H20" s="76">
        <f t="shared" si="2"/>
        <v>159.9</v>
      </c>
      <c r="I20" s="77">
        <f t="shared" si="3"/>
        <v>210.9</v>
      </c>
      <c r="J20" s="12"/>
      <c r="K20" s="2"/>
      <c r="L20" s="2"/>
      <c r="M20" s="2"/>
      <c r="N20" s="2"/>
      <c r="O20" s="2"/>
      <c r="P20" s="2"/>
      <c r="Q20" s="2"/>
      <c r="R20" s="2"/>
    </row>
    <row r="21" spans="1:18" x14ac:dyDescent="0.25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2"/>
      <c r="L21" s="2"/>
      <c r="M21" s="2"/>
      <c r="N21" s="2"/>
      <c r="O21" s="2"/>
      <c r="P21" s="2"/>
      <c r="Q21" s="2"/>
      <c r="R21" s="2"/>
    </row>
    <row r="22" spans="1:18" ht="24.95" customHeight="1" x14ac:dyDescent="0.3">
      <c r="A22" s="12"/>
      <c r="B22" s="78" t="s">
        <v>109</v>
      </c>
      <c r="C22" s="79"/>
      <c r="D22" s="79"/>
      <c r="E22" s="79"/>
      <c r="F22" s="12"/>
      <c r="G22" s="12"/>
      <c r="H22" s="12"/>
      <c r="I22" s="12"/>
      <c r="J22" s="12"/>
      <c r="K22" s="2"/>
      <c r="L22" s="2"/>
      <c r="M22" s="2"/>
      <c r="N22" s="2"/>
      <c r="O22" s="2"/>
      <c r="P22" s="2"/>
      <c r="Q22" s="2"/>
      <c r="R22" s="2"/>
    </row>
    <row r="23" spans="1:18" ht="20.100000000000001" customHeight="1" x14ac:dyDescent="0.25">
      <c r="A23" s="12"/>
      <c r="B23" s="56" t="s">
        <v>110</v>
      </c>
      <c r="C23" s="57"/>
      <c r="D23" s="56" t="s">
        <v>111</v>
      </c>
      <c r="E23" s="57"/>
      <c r="F23" s="56" t="s">
        <v>112</v>
      </c>
      <c r="G23" s="57"/>
      <c r="H23" s="56" t="s">
        <v>113</v>
      </c>
      <c r="I23" s="57"/>
      <c r="J23" s="12"/>
      <c r="K23" s="2"/>
      <c r="L23" s="2"/>
      <c r="M23" s="2"/>
      <c r="N23" s="2"/>
      <c r="O23" s="2"/>
      <c r="P23" s="2"/>
      <c r="Q23" s="2"/>
      <c r="R23" s="2"/>
    </row>
    <row r="24" spans="1:18" ht="30" customHeight="1" x14ac:dyDescent="0.25">
      <c r="A24" s="12"/>
      <c r="B24" s="58">
        <f>F20</f>
        <v>185.39999999999998</v>
      </c>
      <c r="C24" s="59"/>
      <c r="D24" s="58" t="str">
        <f>IF(G20/F20&lt;0.1,"🟢 High",IF(G20/F20&lt;0.2,"🟡 Medium","🔴 Low"))</f>
        <v>🟢 High</v>
      </c>
      <c r="E24" s="59"/>
      <c r="F24" s="58">
        <f>H20</f>
        <v>159.9</v>
      </c>
      <c r="G24" s="59"/>
      <c r="H24" s="58">
        <f>I20</f>
        <v>210.9</v>
      </c>
      <c r="I24" s="59"/>
      <c r="J24" s="12"/>
      <c r="K24" s="2"/>
      <c r="L24" s="2"/>
      <c r="M24" s="2"/>
      <c r="N24" s="2"/>
      <c r="O24" s="2"/>
      <c r="P24" s="2"/>
      <c r="Q24" s="2"/>
      <c r="R24" s="2"/>
    </row>
    <row r="25" spans="1:18" x14ac:dyDescent="0.25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2"/>
      <c r="L25" s="2"/>
      <c r="M25" s="2"/>
      <c r="N25" s="2"/>
      <c r="O25" s="2"/>
      <c r="P25" s="2"/>
      <c r="Q25" s="2"/>
      <c r="R25" s="2"/>
    </row>
    <row r="26" spans="1: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2"/>
      <c r="M26" s="2"/>
      <c r="N26" s="2"/>
      <c r="O26" s="2"/>
      <c r="P26" s="2"/>
      <c r="Q26" s="2"/>
      <c r="R26" s="2"/>
    </row>
    <row r="27" spans="1: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2"/>
      <c r="L27" s="2"/>
      <c r="M27" s="2"/>
      <c r="N27" s="2"/>
      <c r="O27" s="2"/>
      <c r="P27" s="2"/>
      <c r="Q27" s="2"/>
      <c r="R27" s="2"/>
    </row>
    <row r="28" spans="1: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2"/>
      <c r="L28" s="2"/>
      <c r="M28" s="2"/>
      <c r="N28" s="2"/>
      <c r="O28" s="2"/>
      <c r="P28" s="2"/>
      <c r="Q28" s="2"/>
      <c r="R28" s="2"/>
    </row>
    <row r="29" spans="1: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2"/>
      <c r="L29" s="2"/>
      <c r="M29" s="2"/>
      <c r="N29" s="2"/>
      <c r="O29" s="2"/>
      <c r="P29" s="2"/>
      <c r="Q29" s="2"/>
      <c r="R29" s="2"/>
    </row>
    <row r="30" spans="1: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2"/>
      <c r="L30" s="2"/>
      <c r="M30" s="2"/>
      <c r="N30" s="2"/>
      <c r="O30" s="2"/>
      <c r="P30" s="2"/>
      <c r="Q30" s="2"/>
      <c r="R30" s="2"/>
    </row>
    <row r="31" spans="1: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2"/>
      <c r="L31" s="2"/>
      <c r="M31" s="2"/>
      <c r="N31" s="2"/>
      <c r="O31" s="2"/>
      <c r="P31" s="2"/>
      <c r="Q31" s="2"/>
      <c r="R31" s="2"/>
    </row>
    <row r="32" spans="1: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2"/>
      <c r="L32" s="2"/>
      <c r="M32" s="2"/>
      <c r="N32" s="2"/>
      <c r="O32" s="2"/>
      <c r="P32" s="2"/>
      <c r="Q32" s="2"/>
      <c r="R32" s="2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2"/>
      <c r="L33" s="2"/>
      <c r="M33" s="2"/>
      <c r="N33" s="2"/>
      <c r="O33" s="2"/>
      <c r="P33" s="2"/>
      <c r="Q33" s="2"/>
      <c r="R33" s="2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2"/>
      <c r="L34" s="2"/>
      <c r="M34" s="2"/>
      <c r="N34" s="2"/>
      <c r="O34" s="2"/>
      <c r="P34" s="2"/>
      <c r="Q34" s="2"/>
      <c r="R34" s="2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2"/>
      <c r="L35" s="2"/>
      <c r="M35" s="2"/>
      <c r="N35" s="2"/>
      <c r="O35" s="2"/>
      <c r="P35" s="2"/>
      <c r="Q35" s="2"/>
      <c r="R35" s="2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2"/>
      <c r="L36" s="2"/>
      <c r="M36" s="2"/>
      <c r="N36" s="2"/>
      <c r="O36" s="2"/>
      <c r="P36" s="2"/>
      <c r="Q36" s="2"/>
      <c r="R36" s="2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2"/>
      <c r="L37" s="2"/>
      <c r="M37" s="2"/>
      <c r="N37" s="2"/>
      <c r="O37" s="2"/>
      <c r="P37" s="2"/>
      <c r="Q37" s="2"/>
      <c r="R37" s="2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2"/>
      <c r="L38" s="2"/>
      <c r="M38" s="2"/>
      <c r="N38" s="2"/>
      <c r="O38" s="2"/>
      <c r="P38" s="2"/>
      <c r="Q38" s="2"/>
      <c r="R38" s="2"/>
    </row>
    <row r="39" spans="1: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2"/>
      <c r="L39" s="2"/>
      <c r="M39" s="2"/>
      <c r="N39" s="2"/>
      <c r="O39" s="2"/>
      <c r="P39" s="2"/>
      <c r="Q39" s="2"/>
      <c r="R39" s="2"/>
    </row>
    <row r="40" spans="1: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2"/>
      <c r="L40" s="2"/>
      <c r="M40" s="2"/>
      <c r="N40" s="2"/>
      <c r="O40" s="2"/>
      <c r="P40" s="2"/>
      <c r="Q40" s="2"/>
      <c r="R40" s="2"/>
    </row>
    <row r="41" spans="1: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2"/>
      <c r="L41" s="2"/>
      <c r="M41" s="2"/>
      <c r="N41" s="2"/>
      <c r="O41" s="2"/>
      <c r="P41" s="2"/>
      <c r="Q41" s="2"/>
      <c r="R41" s="2"/>
    </row>
    <row r="42" spans="1: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2"/>
      <c r="L42" s="2"/>
      <c r="M42" s="2"/>
      <c r="N42" s="2"/>
      <c r="O42" s="2"/>
      <c r="P42" s="2"/>
      <c r="Q42" s="2"/>
      <c r="R42" s="2"/>
    </row>
    <row r="43" spans="1: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2"/>
      <c r="L43" s="2"/>
      <c r="M43" s="2"/>
      <c r="N43" s="2"/>
      <c r="O43" s="2"/>
      <c r="P43" s="2"/>
      <c r="Q43" s="2"/>
      <c r="R43" s="2"/>
    </row>
    <row r="44" spans="1: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2"/>
      <c r="L44" s="2"/>
      <c r="M44" s="2"/>
      <c r="N44" s="2"/>
      <c r="O44" s="2"/>
      <c r="P44" s="2"/>
      <c r="Q44" s="2"/>
      <c r="R44" s="2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2"/>
      <c r="L45" s="2"/>
      <c r="M45" s="2"/>
      <c r="N45" s="2"/>
      <c r="O45" s="2"/>
      <c r="P45" s="2"/>
      <c r="Q45" s="2"/>
      <c r="R45" s="2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2"/>
      <c r="L46" s="2"/>
      <c r="M46" s="2"/>
      <c r="N46" s="2"/>
      <c r="O46" s="2"/>
      <c r="P46" s="2"/>
      <c r="Q46" s="2"/>
      <c r="R46" s="2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2"/>
      <c r="L47" s="2"/>
      <c r="M47" s="2"/>
      <c r="N47" s="2"/>
      <c r="O47" s="2"/>
      <c r="P47" s="2"/>
      <c r="Q47" s="2"/>
      <c r="R47" s="2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2"/>
      <c r="L48" s="2"/>
      <c r="M48" s="2"/>
      <c r="N48" s="2"/>
      <c r="O48" s="2"/>
      <c r="P48" s="2"/>
      <c r="Q48" s="2"/>
      <c r="R48" s="2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2"/>
      <c r="L49" s="2"/>
      <c r="M49" s="2"/>
      <c r="N49" s="2"/>
      <c r="O49" s="2"/>
      <c r="P49" s="2"/>
      <c r="Q49" s="2"/>
      <c r="R49" s="2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2"/>
      <c r="L50" s="2"/>
      <c r="M50" s="2"/>
      <c r="N50" s="2"/>
      <c r="O50" s="2"/>
      <c r="P50" s="2"/>
      <c r="Q50" s="2"/>
      <c r="R50" s="2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2"/>
      <c r="L51" s="2"/>
      <c r="M51" s="2"/>
      <c r="N51" s="2"/>
      <c r="O51" s="2"/>
      <c r="P51" s="2"/>
      <c r="Q51" s="2"/>
      <c r="R51" s="2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2"/>
      <c r="L52" s="2"/>
      <c r="M52" s="2"/>
      <c r="N52" s="2"/>
      <c r="O52" s="2"/>
      <c r="P52" s="2"/>
      <c r="Q52" s="2"/>
      <c r="R52" s="2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2"/>
      <c r="L53" s="2"/>
      <c r="M53" s="2"/>
      <c r="N53" s="2"/>
      <c r="O53" s="2"/>
      <c r="P53" s="2"/>
      <c r="Q53" s="2"/>
      <c r="R53" s="2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2"/>
      <c r="L54" s="2"/>
      <c r="M54" s="2"/>
      <c r="N54" s="2"/>
      <c r="O54" s="2"/>
      <c r="P54" s="2"/>
      <c r="Q54" s="2"/>
      <c r="R54" s="2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2"/>
      <c r="N55" s="2"/>
      <c r="O55" s="2"/>
      <c r="P55" s="2"/>
      <c r="Q55" s="2"/>
      <c r="R55" s="2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2"/>
      <c r="L56" s="2"/>
      <c r="M56" s="2"/>
      <c r="N56" s="2"/>
      <c r="O56" s="2"/>
      <c r="P56" s="2"/>
      <c r="Q56" s="2"/>
      <c r="R56" s="2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2"/>
      <c r="L57" s="2"/>
      <c r="M57" s="2"/>
      <c r="N57" s="2"/>
      <c r="O57" s="2"/>
      <c r="P57" s="2"/>
      <c r="Q57" s="2"/>
      <c r="R57" s="2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2"/>
      <c r="L58" s="2"/>
      <c r="M58" s="2"/>
      <c r="N58" s="2"/>
      <c r="O58" s="2"/>
      <c r="P58" s="2"/>
      <c r="Q58" s="2"/>
      <c r="R58" s="2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2"/>
      <c r="L59" s="2"/>
      <c r="M59" s="2"/>
      <c r="N59" s="2"/>
      <c r="O59" s="2"/>
      <c r="P59" s="2"/>
      <c r="Q59" s="2"/>
      <c r="R59" s="2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2"/>
      <c r="L60" s="2"/>
      <c r="M60" s="2"/>
      <c r="N60" s="2"/>
      <c r="O60" s="2"/>
      <c r="P60" s="2"/>
      <c r="Q60" s="2"/>
      <c r="R60" s="2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2"/>
      <c r="L61" s="2"/>
      <c r="M61" s="2"/>
      <c r="N61" s="2"/>
      <c r="O61" s="2"/>
      <c r="P61" s="2"/>
      <c r="Q61" s="2"/>
      <c r="R61" s="2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2"/>
      <c r="L62" s="2"/>
      <c r="M62" s="2"/>
      <c r="N62" s="2"/>
      <c r="O62" s="2"/>
      <c r="P62" s="2"/>
      <c r="Q62" s="2"/>
      <c r="R62" s="2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2"/>
      <c r="L63" s="2"/>
      <c r="M63" s="2"/>
      <c r="N63" s="2"/>
      <c r="O63" s="2"/>
      <c r="P63" s="2"/>
      <c r="Q63" s="2"/>
      <c r="R63" s="2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2"/>
      <c r="L64" s="2"/>
      <c r="M64" s="2"/>
      <c r="N64" s="2"/>
      <c r="O64" s="2"/>
      <c r="P64" s="2"/>
      <c r="Q64" s="2"/>
      <c r="R64" s="2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2"/>
      <c r="L65" s="2"/>
      <c r="M65" s="2"/>
      <c r="N65" s="2"/>
      <c r="O65" s="2"/>
      <c r="P65" s="2"/>
      <c r="Q65" s="2"/>
      <c r="R65" s="2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2"/>
      <c r="L66" s="2"/>
      <c r="M66" s="2"/>
      <c r="N66" s="2"/>
      <c r="O66" s="2"/>
      <c r="P66" s="2"/>
      <c r="Q66" s="2"/>
      <c r="R66" s="2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2"/>
      <c r="L67" s="2"/>
      <c r="M67" s="2"/>
      <c r="N67" s="2"/>
      <c r="O67" s="2"/>
      <c r="P67" s="2"/>
      <c r="Q67" s="2"/>
      <c r="R67" s="2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2"/>
      <c r="L68" s="2"/>
      <c r="M68" s="2"/>
      <c r="N68" s="2"/>
      <c r="O68" s="2"/>
      <c r="P68" s="2"/>
      <c r="Q68" s="2"/>
      <c r="R68" s="2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2"/>
      <c r="L69" s="2"/>
      <c r="M69" s="2"/>
      <c r="N69" s="2"/>
      <c r="O69" s="2"/>
      <c r="P69" s="2"/>
      <c r="Q69" s="2"/>
      <c r="R69" s="2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2"/>
      <c r="L70" s="2"/>
      <c r="M70" s="2"/>
      <c r="N70" s="2"/>
      <c r="O70" s="2"/>
      <c r="P70" s="2"/>
      <c r="Q70" s="2"/>
      <c r="R70" s="2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2"/>
      <c r="L71" s="2"/>
      <c r="M71" s="2"/>
      <c r="N71" s="2"/>
      <c r="O71" s="2"/>
      <c r="P71" s="2"/>
      <c r="Q71" s="2"/>
      <c r="R71" s="2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2"/>
      <c r="L72" s="2"/>
      <c r="M72" s="2"/>
      <c r="N72" s="2"/>
      <c r="O72" s="2"/>
      <c r="P72" s="2"/>
      <c r="Q72" s="2"/>
      <c r="R72" s="2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2"/>
      <c r="L73" s="2"/>
      <c r="M73" s="2"/>
      <c r="N73" s="2"/>
      <c r="O73" s="2"/>
      <c r="P73" s="2"/>
      <c r="Q73" s="2"/>
      <c r="R73" s="2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2"/>
      <c r="L74" s="2"/>
      <c r="M74" s="2"/>
      <c r="N74" s="2"/>
      <c r="O74" s="2"/>
      <c r="P74" s="2"/>
      <c r="Q74" s="2"/>
      <c r="R74" s="2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2"/>
      <c r="L75" s="2"/>
      <c r="M75" s="2"/>
      <c r="N75" s="2"/>
      <c r="O75" s="2"/>
      <c r="P75" s="2"/>
      <c r="Q75" s="2"/>
      <c r="R75" s="2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2"/>
      <c r="L76" s="2"/>
      <c r="M76" s="2"/>
      <c r="N76" s="2"/>
      <c r="O76" s="2"/>
      <c r="P76" s="2"/>
      <c r="Q76" s="2"/>
      <c r="R76" s="2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2"/>
      <c r="L77" s="2"/>
      <c r="M77" s="2"/>
      <c r="N77" s="2"/>
      <c r="O77" s="2"/>
      <c r="P77" s="2"/>
      <c r="Q77" s="2"/>
      <c r="R77" s="2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2"/>
      <c r="L78" s="2"/>
      <c r="M78" s="2"/>
      <c r="N78" s="2"/>
      <c r="O78" s="2"/>
      <c r="P78" s="2"/>
      <c r="Q78" s="2"/>
      <c r="R78" s="2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2"/>
      <c r="L79" s="2"/>
      <c r="M79" s="2"/>
      <c r="N79" s="2"/>
      <c r="O79" s="2"/>
      <c r="P79" s="2"/>
      <c r="Q79" s="2"/>
      <c r="R79" s="2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2"/>
      <c r="L80" s="2"/>
      <c r="M80" s="2"/>
      <c r="N80" s="2"/>
      <c r="O80" s="2"/>
      <c r="P80" s="2"/>
      <c r="Q80" s="2"/>
      <c r="R80" s="2"/>
    </row>
  </sheetData>
  <mergeCells count="4">
    <mergeCell ref="B3:I3"/>
    <mergeCell ref="B22:E22"/>
    <mergeCell ref="B2:I2"/>
    <mergeCell ref="B6:I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showGridLines="0"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2.85546875" customWidth="1"/>
    <col min="2" max="2" width="38.140625" customWidth="1"/>
    <col min="3" max="3" width="19" customWidth="1"/>
    <col min="4" max="5" width="21" customWidth="1"/>
    <col min="6" max="7" width="17.140625" customWidth="1"/>
    <col min="8" max="8" width="15.28515625" customWidth="1"/>
    <col min="9" max="9" width="24.7109375" customWidth="1"/>
  </cols>
  <sheetData>
    <row r="1" spans="1:9" x14ac:dyDescent="0.25">
      <c r="A1" s="302"/>
      <c r="B1" s="12"/>
      <c r="C1" s="12"/>
      <c r="D1" s="12"/>
      <c r="E1" s="12"/>
      <c r="F1" s="12"/>
      <c r="G1" s="12"/>
      <c r="H1" s="12"/>
      <c r="I1" s="12"/>
    </row>
    <row r="2" spans="1:9" ht="35.1" customHeight="1" x14ac:dyDescent="0.25">
      <c r="A2" s="12"/>
      <c r="B2" s="81" t="s">
        <v>114</v>
      </c>
      <c r="C2" s="16"/>
      <c r="D2" s="16"/>
      <c r="E2" s="16"/>
      <c r="F2" s="16"/>
      <c r="G2" s="16"/>
      <c r="H2" s="16"/>
      <c r="I2" s="12"/>
    </row>
    <row r="3" spans="1:9" ht="24.95" customHeight="1" thickBot="1" x14ac:dyDescent="0.3">
      <c r="A3" s="12"/>
      <c r="B3" s="61" t="s">
        <v>115</v>
      </c>
      <c r="C3" s="62"/>
      <c r="D3" s="62"/>
      <c r="E3" s="62"/>
      <c r="F3" s="62"/>
      <c r="G3" s="62"/>
      <c r="H3" s="62"/>
      <c r="I3" s="12"/>
    </row>
    <row r="4" spans="1:9" ht="8.1" customHeight="1" thickTop="1" x14ac:dyDescent="0.25">
      <c r="A4" s="12"/>
      <c r="B4" s="18"/>
      <c r="C4" s="18"/>
      <c r="D4" s="18"/>
      <c r="E4" s="18"/>
      <c r="F4" s="18"/>
      <c r="G4" s="18"/>
      <c r="H4" s="18"/>
      <c r="I4" s="12"/>
    </row>
    <row r="5" spans="1:9" ht="27.95" customHeight="1" thickBot="1" x14ac:dyDescent="0.35">
      <c r="A5" s="12"/>
      <c r="B5" s="82" t="s">
        <v>116</v>
      </c>
      <c r="C5" s="19"/>
      <c r="D5" s="19"/>
      <c r="E5" s="19"/>
      <c r="F5" s="19"/>
      <c r="G5" s="19"/>
      <c r="H5" s="19"/>
      <c r="I5" s="12"/>
    </row>
    <row r="6" spans="1:9" ht="27.95" customHeight="1" x14ac:dyDescent="0.25">
      <c r="A6" s="12"/>
      <c r="B6" s="64" t="s">
        <v>117</v>
      </c>
      <c r="C6" s="65" t="s">
        <v>89</v>
      </c>
      <c r="D6" s="65" t="s">
        <v>90</v>
      </c>
      <c r="E6" s="65" t="s">
        <v>91</v>
      </c>
      <c r="F6" s="65" t="s">
        <v>92</v>
      </c>
      <c r="G6" s="65" t="s">
        <v>118</v>
      </c>
      <c r="H6" s="65" t="s">
        <v>14</v>
      </c>
      <c r="I6" s="66" t="s">
        <v>119</v>
      </c>
    </row>
    <row r="7" spans="1:9" ht="21.95" customHeight="1" x14ac:dyDescent="0.25">
      <c r="A7" s="12"/>
      <c r="B7" s="67" t="s">
        <v>120</v>
      </c>
      <c r="C7" s="68">
        <v>4</v>
      </c>
      <c r="D7" s="68">
        <v>10</v>
      </c>
      <c r="E7" s="68">
        <v>20</v>
      </c>
      <c r="F7" s="69">
        <f t="shared" ref="F7:F17" si="0">ROUND((C7+4*D7+E7)/6,1)</f>
        <v>10.7</v>
      </c>
      <c r="G7" s="69">
        <f t="shared" ref="G7:G17" si="1">ROUND((C7+D7+E7)/3,1)</f>
        <v>11.3</v>
      </c>
      <c r="H7" s="69">
        <f t="shared" ref="H7:H17" si="2">ROUND((E7-C7)/6,1)</f>
        <v>2.7</v>
      </c>
      <c r="I7" s="83" t="str">
        <f t="shared" ref="I7:I21" si="3">ROUND(F7-1.96*G7,1)&amp;" – "&amp;ROUND(F7+1.96*G7,1)&amp;" hrs"</f>
        <v>-11.4 – 32.8 hrs</v>
      </c>
    </row>
    <row r="8" spans="1:9" ht="21.95" customHeight="1" x14ac:dyDescent="0.25">
      <c r="A8" s="12"/>
      <c r="B8" s="71" t="s">
        <v>121</v>
      </c>
      <c r="C8" s="72">
        <v>6</v>
      </c>
      <c r="D8" s="72">
        <v>12</v>
      </c>
      <c r="E8" s="72">
        <v>24</v>
      </c>
      <c r="F8" s="73">
        <f t="shared" si="0"/>
        <v>13</v>
      </c>
      <c r="G8" s="73">
        <f t="shared" si="1"/>
        <v>14</v>
      </c>
      <c r="H8" s="73">
        <f t="shared" si="2"/>
        <v>3</v>
      </c>
      <c r="I8" s="84" t="str">
        <f t="shared" si="3"/>
        <v>-14.4 – 40.4 hrs</v>
      </c>
    </row>
    <row r="9" spans="1:9" ht="21.95" customHeight="1" x14ac:dyDescent="0.25">
      <c r="A9" s="12"/>
      <c r="B9" s="67" t="s">
        <v>122</v>
      </c>
      <c r="C9" s="68">
        <v>8</v>
      </c>
      <c r="D9" s="68">
        <v>16</v>
      </c>
      <c r="E9" s="68">
        <v>32</v>
      </c>
      <c r="F9" s="69">
        <f t="shared" si="0"/>
        <v>17.3</v>
      </c>
      <c r="G9" s="69">
        <f t="shared" si="1"/>
        <v>18.7</v>
      </c>
      <c r="H9" s="69">
        <f t="shared" si="2"/>
        <v>4</v>
      </c>
      <c r="I9" s="83" t="str">
        <f t="shared" si="3"/>
        <v>-19.4 – 54 hrs</v>
      </c>
    </row>
    <row r="10" spans="1:9" ht="21.95" customHeight="1" x14ac:dyDescent="0.25">
      <c r="A10" s="12"/>
      <c r="B10" s="71" t="s">
        <v>123</v>
      </c>
      <c r="C10" s="72">
        <v>10</v>
      </c>
      <c r="D10" s="72">
        <v>20</v>
      </c>
      <c r="E10" s="72">
        <v>40</v>
      </c>
      <c r="F10" s="73">
        <f t="shared" si="0"/>
        <v>21.7</v>
      </c>
      <c r="G10" s="73">
        <f t="shared" si="1"/>
        <v>23.3</v>
      </c>
      <c r="H10" s="73">
        <f t="shared" si="2"/>
        <v>5</v>
      </c>
      <c r="I10" s="84" t="str">
        <f t="shared" si="3"/>
        <v>-24 – 67.4 hrs</v>
      </c>
    </row>
    <row r="11" spans="1:9" ht="21.95" customHeight="1" x14ac:dyDescent="0.25">
      <c r="A11" s="12"/>
      <c r="B11" s="67" t="s">
        <v>124</v>
      </c>
      <c r="C11" s="68">
        <v>8</v>
      </c>
      <c r="D11" s="68">
        <v>18</v>
      </c>
      <c r="E11" s="68">
        <v>36</v>
      </c>
      <c r="F11" s="69">
        <f t="shared" si="0"/>
        <v>19.3</v>
      </c>
      <c r="G11" s="69">
        <f t="shared" si="1"/>
        <v>20.7</v>
      </c>
      <c r="H11" s="69">
        <f t="shared" si="2"/>
        <v>4.7</v>
      </c>
      <c r="I11" s="83" t="str">
        <f t="shared" si="3"/>
        <v>-21.3 – 59.9 hrs</v>
      </c>
    </row>
    <row r="12" spans="1:9" ht="21.95" customHeight="1" x14ac:dyDescent="0.25">
      <c r="A12" s="12"/>
      <c r="B12" s="71" t="s">
        <v>125</v>
      </c>
      <c r="C12" s="72">
        <v>6</v>
      </c>
      <c r="D12" s="72">
        <v>14</v>
      </c>
      <c r="E12" s="72">
        <v>28</v>
      </c>
      <c r="F12" s="73">
        <f t="shared" si="0"/>
        <v>15</v>
      </c>
      <c r="G12" s="73">
        <f t="shared" si="1"/>
        <v>16</v>
      </c>
      <c r="H12" s="73">
        <f t="shared" si="2"/>
        <v>3.7</v>
      </c>
      <c r="I12" s="84" t="str">
        <f t="shared" si="3"/>
        <v>-16.4 – 46.4 hrs</v>
      </c>
    </row>
    <row r="13" spans="1:9" ht="21.95" customHeight="1" x14ac:dyDescent="0.25">
      <c r="A13" s="12"/>
      <c r="B13" s="67" t="s">
        <v>126</v>
      </c>
      <c r="C13" s="68">
        <v>8</v>
      </c>
      <c r="D13" s="68">
        <v>20</v>
      </c>
      <c r="E13" s="68">
        <v>40</v>
      </c>
      <c r="F13" s="69">
        <f t="shared" si="0"/>
        <v>21.3</v>
      </c>
      <c r="G13" s="69">
        <f t="shared" si="1"/>
        <v>22.7</v>
      </c>
      <c r="H13" s="69">
        <f t="shared" si="2"/>
        <v>5.3</v>
      </c>
      <c r="I13" s="83" t="str">
        <f t="shared" si="3"/>
        <v>-23.2 – 65.8 hrs</v>
      </c>
    </row>
    <row r="14" spans="1:9" ht="21.95" customHeight="1" x14ac:dyDescent="0.25">
      <c r="A14" s="12"/>
      <c r="B14" s="71" t="s">
        <v>127</v>
      </c>
      <c r="C14" s="72">
        <v>4</v>
      </c>
      <c r="D14" s="72">
        <v>8</v>
      </c>
      <c r="E14" s="72">
        <v>16</v>
      </c>
      <c r="F14" s="73">
        <f t="shared" si="0"/>
        <v>8.6999999999999993</v>
      </c>
      <c r="G14" s="73">
        <f t="shared" si="1"/>
        <v>9.3000000000000007</v>
      </c>
      <c r="H14" s="73">
        <f t="shared" si="2"/>
        <v>2</v>
      </c>
      <c r="I14" s="84" t="str">
        <f t="shared" si="3"/>
        <v>-9.5 – 26.9 hrs</v>
      </c>
    </row>
    <row r="15" spans="1:9" ht="21.95" customHeight="1" x14ac:dyDescent="0.25">
      <c r="A15" s="12"/>
      <c r="B15" s="67" t="s">
        <v>128</v>
      </c>
      <c r="C15" s="68">
        <v>4</v>
      </c>
      <c r="D15" s="68">
        <v>10</v>
      </c>
      <c r="E15" s="68">
        <v>20</v>
      </c>
      <c r="F15" s="69">
        <f t="shared" si="0"/>
        <v>10.7</v>
      </c>
      <c r="G15" s="69">
        <f t="shared" si="1"/>
        <v>11.3</v>
      </c>
      <c r="H15" s="69">
        <f t="shared" si="2"/>
        <v>2.7</v>
      </c>
      <c r="I15" s="83" t="str">
        <f t="shared" si="3"/>
        <v>-11.4 – 32.8 hrs</v>
      </c>
    </row>
    <row r="16" spans="1:9" ht="21.95" customHeight="1" x14ac:dyDescent="0.25">
      <c r="A16" s="12"/>
      <c r="B16" s="71" t="s">
        <v>129</v>
      </c>
      <c r="C16" s="72">
        <v>6</v>
      </c>
      <c r="D16" s="72">
        <v>12</v>
      </c>
      <c r="E16" s="72">
        <v>24</v>
      </c>
      <c r="F16" s="73">
        <f t="shared" si="0"/>
        <v>13</v>
      </c>
      <c r="G16" s="73">
        <f t="shared" si="1"/>
        <v>14</v>
      </c>
      <c r="H16" s="73">
        <f t="shared" si="2"/>
        <v>3</v>
      </c>
      <c r="I16" s="84" t="str">
        <f t="shared" si="3"/>
        <v>-14.4 – 40.4 hrs</v>
      </c>
    </row>
    <row r="17" spans="1:9" ht="21.95" customHeight="1" x14ac:dyDescent="0.25">
      <c r="A17" s="12"/>
      <c r="B17" s="67" t="s">
        <v>130</v>
      </c>
      <c r="C17" s="68">
        <v>4</v>
      </c>
      <c r="D17" s="68">
        <v>8</v>
      </c>
      <c r="E17" s="68">
        <v>16</v>
      </c>
      <c r="F17" s="69">
        <f t="shared" si="0"/>
        <v>8.6999999999999993</v>
      </c>
      <c r="G17" s="69">
        <f t="shared" si="1"/>
        <v>9.3000000000000007</v>
      </c>
      <c r="H17" s="69">
        <f t="shared" si="2"/>
        <v>2</v>
      </c>
      <c r="I17" s="83" t="str">
        <f t="shared" si="3"/>
        <v>-9.5 – 26.9 hrs</v>
      </c>
    </row>
    <row r="18" spans="1:9" ht="21.95" customHeight="1" x14ac:dyDescent="0.25">
      <c r="A18" s="12"/>
      <c r="B18" s="71" t="s">
        <v>131</v>
      </c>
      <c r="C18" s="73">
        <v>6</v>
      </c>
      <c r="D18" s="73">
        <v>12</v>
      </c>
      <c r="E18" s="73">
        <v>24</v>
      </c>
      <c r="F18" s="73">
        <f>ROUND((C18+4*D18+E18)/6,1)</f>
        <v>13</v>
      </c>
      <c r="G18" s="73">
        <f>ROUND((C18+D18+E18)/3,1)</f>
        <v>14</v>
      </c>
      <c r="H18" s="73">
        <f>ROUND((E18-C18)/6,1)</f>
        <v>3</v>
      </c>
      <c r="I18" s="84" t="str">
        <f>ROUND(F18-1.96*G18,1)&amp;" – "&amp;ROUND(F18+1.96*G18,1)&amp;" hrs"</f>
        <v>-14.4 – 40.4 hrs</v>
      </c>
    </row>
    <row r="19" spans="1:9" ht="21.95" customHeight="1" x14ac:dyDescent="0.25">
      <c r="A19" s="12"/>
      <c r="B19" s="67" t="s">
        <v>132</v>
      </c>
      <c r="C19" s="68">
        <v>4</v>
      </c>
      <c r="D19" s="68">
        <v>6</v>
      </c>
      <c r="E19" s="68">
        <v>12</v>
      </c>
      <c r="F19" s="69">
        <f>ROUND((C19+4*D19+E19)/6,1)</f>
        <v>6.7</v>
      </c>
      <c r="G19" s="69">
        <f>ROUND((C19+D19+E19)/3,1)</f>
        <v>7.3</v>
      </c>
      <c r="H19" s="69">
        <f>ROUND((E19-C19)/6,1)</f>
        <v>1.3</v>
      </c>
      <c r="I19" s="83" t="str">
        <f t="shared" si="3"/>
        <v>-7.6 – 21 hrs</v>
      </c>
    </row>
    <row r="20" spans="1:9" ht="21.95" customHeight="1" x14ac:dyDescent="0.25">
      <c r="A20" s="12"/>
      <c r="B20" s="71" t="s">
        <v>133</v>
      </c>
      <c r="C20" s="72">
        <v>8</v>
      </c>
      <c r="D20" s="72">
        <v>16</v>
      </c>
      <c r="E20" s="72">
        <v>32</v>
      </c>
      <c r="F20" s="73">
        <f>ROUND((C20+4*D20+E20)/6,1)</f>
        <v>17.3</v>
      </c>
      <c r="G20" s="73">
        <f>ROUND((C20+D20+E20)/3,1)</f>
        <v>18.7</v>
      </c>
      <c r="H20" s="73">
        <f>ROUND((E20-C20)/6,1)</f>
        <v>4</v>
      </c>
      <c r="I20" s="84" t="str">
        <f t="shared" si="3"/>
        <v>-19.4 – 54 hrs</v>
      </c>
    </row>
    <row r="21" spans="1:9" ht="21.95" customHeight="1" x14ac:dyDescent="0.25">
      <c r="A21" s="12"/>
      <c r="B21" s="67" t="s">
        <v>134</v>
      </c>
      <c r="C21" s="68">
        <v>6</v>
      </c>
      <c r="D21" s="68">
        <v>12</v>
      </c>
      <c r="E21" s="68">
        <v>24</v>
      </c>
      <c r="F21" s="69">
        <f>ROUND((C21+4*D21+E21)/6,1)</f>
        <v>13</v>
      </c>
      <c r="G21" s="69">
        <f>ROUND((C21+D21+E21)/3,1)</f>
        <v>14</v>
      </c>
      <c r="H21" s="69">
        <f>ROUND((E21-C21)/6,1)</f>
        <v>3</v>
      </c>
      <c r="I21" s="83" t="str">
        <f t="shared" si="3"/>
        <v>-14.4 – 40.4 hrs</v>
      </c>
    </row>
    <row r="22" spans="1:9" ht="27.95" customHeight="1" thickBot="1" x14ac:dyDescent="0.35">
      <c r="A22" s="12"/>
      <c r="B22" s="75" t="s">
        <v>108</v>
      </c>
      <c r="C22" s="76">
        <f>SUM(C7:C21)</f>
        <v>92</v>
      </c>
      <c r="D22" s="76">
        <f>SUM(D7:D21)</f>
        <v>194</v>
      </c>
      <c r="E22" s="76">
        <f>SUM(E7:E21)</f>
        <v>388</v>
      </c>
      <c r="F22" s="76">
        <f>SUM(F7:F21)</f>
        <v>209.39999999999998</v>
      </c>
      <c r="G22" s="76">
        <f>SUM(G7:G21)</f>
        <v>224.60000000000002</v>
      </c>
      <c r="H22" s="76">
        <f>ROUND(SQRT(SUMSQ(H7:H21)),1)</f>
        <v>13.5</v>
      </c>
      <c r="I22" s="85"/>
    </row>
    <row r="23" spans="1:9" x14ac:dyDescent="0.25">
      <c r="A23" s="12"/>
      <c r="B23" s="12"/>
      <c r="C23" s="12"/>
      <c r="D23" s="12"/>
      <c r="E23" s="12"/>
      <c r="F23" s="12"/>
      <c r="G23" s="12"/>
      <c r="H23" s="12"/>
      <c r="I23" s="12"/>
    </row>
    <row r="24" spans="1:9" x14ac:dyDescent="0.25">
      <c r="A24" s="12"/>
      <c r="B24" s="12"/>
      <c r="C24" s="12"/>
      <c r="D24" s="12"/>
      <c r="E24" s="12"/>
      <c r="F24" s="12"/>
      <c r="G24" s="12"/>
      <c r="H24" s="12"/>
      <c r="I24" s="12"/>
    </row>
    <row r="25" spans="1:9" x14ac:dyDescent="0.25">
      <c r="A25" s="12"/>
      <c r="B25" s="12"/>
      <c r="C25" s="12"/>
      <c r="D25" s="12"/>
      <c r="E25" s="12"/>
      <c r="F25" s="12"/>
      <c r="G25" s="12"/>
      <c r="H25" s="12"/>
      <c r="I25" s="12"/>
    </row>
    <row r="26" spans="1:9" x14ac:dyDescent="0.2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2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2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2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2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25">
      <c r="A33" s="1"/>
      <c r="B33" s="1"/>
      <c r="C33" s="1"/>
      <c r="D33" s="1"/>
      <c r="E33" s="1"/>
      <c r="F33" s="1"/>
      <c r="G33" s="1"/>
      <c r="H33" s="1"/>
      <c r="I33" s="1"/>
    </row>
    <row r="34" spans="1:9" x14ac:dyDescent="0.25">
      <c r="A34" s="1"/>
      <c r="B34" s="1"/>
      <c r="C34" s="1"/>
      <c r="D34" s="1"/>
      <c r="E34" s="1"/>
      <c r="F34" s="1"/>
      <c r="G34" s="1"/>
      <c r="H34" s="1"/>
      <c r="I34" s="1"/>
    </row>
    <row r="35" spans="1:9" x14ac:dyDescent="0.25">
      <c r="A35" s="1"/>
      <c r="B35" s="1"/>
      <c r="C35" s="1"/>
      <c r="D35" s="1"/>
      <c r="E35" s="1"/>
      <c r="F35" s="1"/>
      <c r="G35" s="1"/>
      <c r="H35" s="1"/>
      <c r="I35" s="1"/>
    </row>
    <row r="36" spans="1:9" x14ac:dyDescent="0.25">
      <c r="A36" s="1"/>
      <c r="B36" s="1"/>
      <c r="C36" s="1"/>
      <c r="D36" s="1"/>
      <c r="E36" s="1"/>
      <c r="F36" s="1"/>
      <c r="G36" s="1"/>
      <c r="H36" s="1"/>
      <c r="I36" s="1"/>
    </row>
    <row r="37" spans="1:9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x14ac:dyDescent="0.25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25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2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5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2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25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25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25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25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25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25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25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25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25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25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25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25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25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25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25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25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25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25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25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25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25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5">
      <c r="A80" s="1"/>
      <c r="B80" s="1"/>
      <c r="C80" s="1"/>
      <c r="D80" s="1"/>
      <c r="E80" s="1"/>
      <c r="F80" s="1"/>
      <c r="G80" s="1"/>
      <c r="H80" s="1"/>
      <c r="I80" s="1"/>
    </row>
  </sheetData>
  <mergeCells count="3">
    <mergeCell ref="B3:H3"/>
    <mergeCell ref="B5:H5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80"/>
  <sheetViews>
    <sheetView showGridLines="0" zoomScaleNormal="100" workbookViewId="0">
      <pane ySplit="12" topLeftCell="A13" activePane="bottomLeft" state="frozen"/>
      <selection pane="bottomLeft" activeCell="A13" sqref="A13"/>
    </sheetView>
  </sheetViews>
  <sheetFormatPr defaultRowHeight="15" x14ac:dyDescent="0.25"/>
  <cols>
    <col min="1" max="1" width="2.85546875" customWidth="1"/>
    <col min="2" max="2" width="38.140625" customWidth="1"/>
    <col min="3" max="3" width="19" customWidth="1"/>
    <col min="4" max="4" width="32" customWidth="1"/>
    <col min="5" max="6" width="17.140625" customWidth="1"/>
    <col min="7" max="7" width="19" customWidth="1"/>
    <col min="8" max="8" width="15.28515625" customWidth="1"/>
    <col min="9" max="9" width="17.140625" customWidth="1"/>
    <col min="10" max="10" width="2.85546875" customWidth="1"/>
  </cols>
  <sheetData>
    <row r="1" spans="1:10" x14ac:dyDescent="0.25">
      <c r="A1" s="302"/>
      <c r="B1" s="12"/>
      <c r="C1" s="12"/>
      <c r="D1" s="12"/>
      <c r="E1" s="12"/>
      <c r="F1" s="12"/>
      <c r="G1" s="12"/>
      <c r="H1" s="12"/>
      <c r="I1" s="12"/>
      <c r="J1" s="12"/>
    </row>
    <row r="2" spans="1:10" ht="35.1" customHeight="1" x14ac:dyDescent="0.25">
      <c r="A2" s="12"/>
      <c r="B2" s="86" t="s">
        <v>135</v>
      </c>
      <c r="C2" s="16"/>
      <c r="D2" s="16"/>
      <c r="E2" s="16"/>
      <c r="F2" s="16"/>
      <c r="G2" s="16"/>
      <c r="H2" s="16"/>
      <c r="I2" s="16"/>
      <c r="J2" s="12"/>
    </row>
    <row r="3" spans="1:10" ht="24.95" customHeight="1" thickBot="1" x14ac:dyDescent="0.3">
      <c r="A3" s="12"/>
      <c r="B3" s="61" t="s">
        <v>136</v>
      </c>
      <c r="C3" s="62"/>
      <c r="D3" s="62"/>
      <c r="E3" s="62"/>
      <c r="F3" s="62"/>
      <c r="G3" s="62"/>
      <c r="H3" s="62"/>
      <c r="I3" s="62"/>
      <c r="J3" s="12"/>
    </row>
    <row r="4" spans="1:10" ht="8.1" customHeight="1" thickTop="1" x14ac:dyDescent="0.25">
      <c r="A4" s="12"/>
      <c r="B4" s="18"/>
      <c r="C4" s="18"/>
      <c r="D4" s="18"/>
      <c r="E4" s="18"/>
      <c r="F4" s="18"/>
      <c r="G4" s="18"/>
      <c r="H4" s="18"/>
      <c r="I4" s="18"/>
      <c r="J4" s="12"/>
    </row>
    <row r="5" spans="1:10" ht="27.95" customHeight="1" x14ac:dyDescent="0.3">
      <c r="A5" s="12"/>
      <c r="B5" s="89" t="s">
        <v>137</v>
      </c>
      <c r="C5" s="19"/>
      <c r="D5" s="19"/>
      <c r="E5" s="19"/>
      <c r="F5" s="19"/>
      <c r="G5" s="19"/>
      <c r="H5" s="19"/>
      <c r="I5" s="19"/>
      <c r="J5" s="12"/>
    </row>
    <row r="6" spans="1:10" ht="21.95" customHeight="1" x14ac:dyDescent="0.25">
      <c r="A6" s="12"/>
      <c r="B6" s="27" t="s">
        <v>138</v>
      </c>
      <c r="C6" s="90">
        <v>40</v>
      </c>
      <c r="D6" s="28" t="s">
        <v>139</v>
      </c>
      <c r="E6" s="12"/>
      <c r="F6" s="12"/>
      <c r="G6" s="12"/>
      <c r="H6" s="12"/>
      <c r="I6" s="12"/>
      <c r="J6" s="12"/>
    </row>
    <row r="7" spans="1:10" ht="21.95" customHeight="1" x14ac:dyDescent="0.25">
      <c r="A7" s="12"/>
      <c r="B7" s="29" t="s">
        <v>140</v>
      </c>
      <c r="C7" s="91">
        <f>'⚙️ Config'!C12*'⚙️ Config'!C11*'⚙️ Config'!C13*5</f>
        <v>400</v>
      </c>
      <c r="D7" s="30" t="s">
        <v>141</v>
      </c>
      <c r="E7" s="12"/>
      <c r="F7" s="12"/>
      <c r="G7" s="12"/>
      <c r="H7" s="12"/>
      <c r="I7" s="12"/>
      <c r="J7" s="12"/>
    </row>
    <row r="8" spans="1:10" ht="21.95" customHeight="1" x14ac:dyDescent="0.25">
      <c r="A8" s="12"/>
      <c r="B8" s="31" t="s">
        <v>142</v>
      </c>
      <c r="C8" s="92">
        <v>2.5</v>
      </c>
      <c r="D8" s="32" t="s">
        <v>143</v>
      </c>
      <c r="E8" s="12"/>
      <c r="F8" s="12"/>
      <c r="G8" s="12"/>
      <c r="H8" s="12"/>
      <c r="I8" s="12"/>
      <c r="J8" s="12"/>
    </row>
    <row r="9" spans="1:10" ht="21.95" customHeight="1" x14ac:dyDescent="0.25">
      <c r="A9" s="12"/>
      <c r="B9" s="33" t="s">
        <v>144</v>
      </c>
      <c r="C9" s="93">
        <v>8</v>
      </c>
      <c r="D9" s="34" t="s">
        <v>145</v>
      </c>
      <c r="E9" s="12"/>
      <c r="F9" s="12"/>
      <c r="G9" s="12"/>
      <c r="H9" s="12"/>
      <c r="I9" s="12"/>
      <c r="J9" s="12"/>
    </row>
    <row r="10" spans="1:10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</row>
    <row r="11" spans="1:10" ht="27.95" customHeight="1" thickBot="1" x14ac:dyDescent="0.35">
      <c r="A11" s="12"/>
      <c r="B11" s="89" t="s">
        <v>146</v>
      </c>
      <c r="C11" s="19"/>
      <c r="D11" s="19"/>
      <c r="E11" s="19"/>
      <c r="F11" s="19"/>
      <c r="G11" s="19"/>
      <c r="H11" s="19"/>
      <c r="I11" s="19"/>
      <c r="J11" s="12"/>
    </row>
    <row r="12" spans="1:10" ht="27.95" customHeight="1" x14ac:dyDescent="0.25">
      <c r="A12" s="12"/>
      <c r="B12" s="64" t="s">
        <v>147</v>
      </c>
      <c r="C12" s="65" t="s">
        <v>148</v>
      </c>
      <c r="D12" s="65" t="s">
        <v>149</v>
      </c>
      <c r="E12" s="65" t="s">
        <v>150</v>
      </c>
      <c r="F12" s="65" t="s">
        <v>151</v>
      </c>
      <c r="G12" s="65" t="s">
        <v>152</v>
      </c>
      <c r="H12" s="65" t="s">
        <v>153</v>
      </c>
      <c r="I12" s="66" t="s">
        <v>154</v>
      </c>
      <c r="J12" s="12"/>
    </row>
    <row r="13" spans="1:10" ht="21.95" customHeight="1" x14ac:dyDescent="0.25">
      <c r="A13" s="12"/>
      <c r="B13" s="97" t="s">
        <v>155</v>
      </c>
      <c r="C13" s="98">
        <v>13</v>
      </c>
      <c r="D13" s="99" t="s">
        <v>30</v>
      </c>
      <c r="E13" s="99" t="s">
        <v>156</v>
      </c>
      <c r="F13" s="68">
        <f t="shared" ref="F13:F21" si="0">IF(C13&lt;&gt;"",C13*$C$8,"")</f>
        <v>32.5</v>
      </c>
      <c r="G13" s="68"/>
      <c r="H13" s="68" t="str">
        <f t="shared" ref="H13:H32" si="1">IF(AND(F13&lt;&gt;"",G13&lt;&gt;""),G13-F13,"")</f>
        <v/>
      </c>
      <c r="I13" s="100"/>
      <c r="J13" s="12"/>
    </row>
    <row r="14" spans="1:10" ht="21.95" customHeight="1" x14ac:dyDescent="0.25">
      <c r="A14" s="12"/>
      <c r="B14" s="71" t="s">
        <v>157</v>
      </c>
      <c r="C14" s="101">
        <v>8</v>
      </c>
      <c r="D14" s="102" t="s">
        <v>30</v>
      </c>
      <c r="E14" s="102" t="s">
        <v>156</v>
      </c>
      <c r="F14" s="73">
        <f t="shared" si="0"/>
        <v>20</v>
      </c>
      <c r="G14" s="73"/>
      <c r="H14" s="73" t="str">
        <f t="shared" si="1"/>
        <v/>
      </c>
      <c r="I14" s="84" t="s">
        <v>158</v>
      </c>
      <c r="J14" s="12"/>
    </row>
    <row r="15" spans="1:10" ht="21.95" customHeight="1" x14ac:dyDescent="0.25">
      <c r="A15" s="12"/>
      <c r="B15" s="67" t="s">
        <v>159</v>
      </c>
      <c r="C15" s="98">
        <v>3</v>
      </c>
      <c r="D15" s="103" t="s">
        <v>32</v>
      </c>
      <c r="E15" s="103" t="s">
        <v>156</v>
      </c>
      <c r="F15" s="69">
        <f t="shared" si="0"/>
        <v>7.5</v>
      </c>
      <c r="G15" s="69"/>
      <c r="H15" s="69" t="str">
        <f t="shared" si="1"/>
        <v/>
      </c>
      <c r="I15" s="83" t="s">
        <v>158</v>
      </c>
      <c r="J15" s="12"/>
    </row>
    <row r="16" spans="1:10" ht="21.95" customHeight="1" x14ac:dyDescent="0.25">
      <c r="A16" s="12"/>
      <c r="B16" s="104" t="s">
        <v>160</v>
      </c>
      <c r="C16" s="101">
        <v>21</v>
      </c>
      <c r="D16" s="105" t="s">
        <v>30</v>
      </c>
      <c r="E16" s="105" t="s">
        <v>161</v>
      </c>
      <c r="F16" s="72">
        <f t="shared" si="0"/>
        <v>52.5</v>
      </c>
      <c r="G16" s="72"/>
      <c r="H16" s="72" t="str">
        <f t="shared" si="1"/>
        <v/>
      </c>
      <c r="I16" s="106"/>
      <c r="J16" s="12"/>
    </row>
    <row r="17" spans="1:10" ht="21.95" customHeight="1" x14ac:dyDescent="0.25">
      <c r="A17" s="12"/>
      <c r="B17" s="67" t="s">
        <v>162</v>
      </c>
      <c r="C17" s="98">
        <v>8</v>
      </c>
      <c r="D17" s="103" t="s">
        <v>30</v>
      </c>
      <c r="E17" s="103" t="s">
        <v>161</v>
      </c>
      <c r="F17" s="69">
        <f t="shared" si="0"/>
        <v>20</v>
      </c>
      <c r="G17" s="69"/>
      <c r="H17" s="69" t="str">
        <f t="shared" si="1"/>
        <v/>
      </c>
      <c r="I17" s="83" t="s">
        <v>158</v>
      </c>
      <c r="J17" s="12"/>
    </row>
    <row r="18" spans="1:10" ht="21.95" customHeight="1" x14ac:dyDescent="0.25">
      <c r="A18" s="12"/>
      <c r="B18" s="71" t="s">
        <v>163</v>
      </c>
      <c r="C18" s="101">
        <v>5</v>
      </c>
      <c r="D18" s="102" t="s">
        <v>30</v>
      </c>
      <c r="E18" s="102" t="s">
        <v>161</v>
      </c>
      <c r="F18" s="73">
        <f t="shared" si="0"/>
        <v>12.5</v>
      </c>
      <c r="G18" s="73"/>
      <c r="H18" s="73" t="str">
        <f t="shared" si="1"/>
        <v/>
      </c>
      <c r="I18" s="84" t="s">
        <v>158</v>
      </c>
      <c r="J18" s="12"/>
    </row>
    <row r="19" spans="1:10" ht="21.95" customHeight="1" x14ac:dyDescent="0.25">
      <c r="A19" s="12"/>
      <c r="B19" s="67" t="s">
        <v>164</v>
      </c>
      <c r="C19" s="98">
        <v>5</v>
      </c>
      <c r="D19" s="103" t="s">
        <v>32</v>
      </c>
      <c r="E19" s="103" t="s">
        <v>161</v>
      </c>
      <c r="F19" s="69">
        <f t="shared" si="0"/>
        <v>12.5</v>
      </c>
      <c r="G19" s="69"/>
      <c r="H19" s="69" t="str">
        <f t="shared" si="1"/>
        <v/>
      </c>
      <c r="I19" s="83" t="s">
        <v>158</v>
      </c>
      <c r="J19" s="12"/>
    </row>
    <row r="20" spans="1:10" ht="21.95" customHeight="1" x14ac:dyDescent="0.25">
      <c r="A20" s="12"/>
      <c r="B20" s="104" t="s">
        <v>165</v>
      </c>
      <c r="C20" s="101">
        <v>21</v>
      </c>
      <c r="D20" s="105" t="s">
        <v>166</v>
      </c>
      <c r="E20" s="105" t="s">
        <v>167</v>
      </c>
      <c r="F20" s="72">
        <f t="shared" si="0"/>
        <v>52.5</v>
      </c>
      <c r="G20" s="72"/>
      <c r="H20" s="72" t="str">
        <f t="shared" si="1"/>
        <v/>
      </c>
      <c r="I20" s="106"/>
      <c r="J20" s="12"/>
    </row>
    <row r="21" spans="1:10" ht="21.95" customHeight="1" x14ac:dyDescent="0.25">
      <c r="A21" s="12"/>
      <c r="B21" s="67" t="s">
        <v>168</v>
      </c>
      <c r="C21" s="98">
        <v>5</v>
      </c>
      <c r="D21" s="103" t="s">
        <v>166</v>
      </c>
      <c r="E21" s="103" t="s">
        <v>167</v>
      </c>
      <c r="F21" s="69">
        <f t="shared" si="0"/>
        <v>12.5</v>
      </c>
      <c r="G21" s="69"/>
      <c r="H21" s="69" t="str">
        <f t="shared" si="1"/>
        <v/>
      </c>
      <c r="I21" s="83" t="s">
        <v>158</v>
      </c>
      <c r="J21" s="12"/>
    </row>
    <row r="22" spans="1:10" ht="21.95" customHeight="1" x14ac:dyDescent="0.25">
      <c r="A22" s="12"/>
      <c r="B22" s="71" t="s">
        <v>169</v>
      </c>
      <c r="C22" s="101">
        <v>13</v>
      </c>
      <c r="D22" s="102" t="s">
        <v>166</v>
      </c>
      <c r="E22" s="102" t="s">
        <v>167</v>
      </c>
      <c r="F22" s="73">
        <f>IF(C22&lt;&gt;"",C22*$C$8,"")</f>
        <v>32.5</v>
      </c>
      <c r="G22" s="73"/>
      <c r="H22" s="73" t="str">
        <f t="shared" si="1"/>
        <v/>
      </c>
      <c r="I22" s="84" t="str">
        <f>IF(C6&gt;0,ROUND(F33/(C6*C9),1)&amp;" sprints","")</f>
        <v>1.6 sprints</v>
      </c>
      <c r="J22" s="12"/>
    </row>
    <row r="23" spans="1:10" ht="21.95" customHeight="1" x14ac:dyDescent="0.25">
      <c r="A23" s="12"/>
      <c r="B23" s="67" t="s">
        <v>170</v>
      </c>
      <c r="C23" s="98">
        <v>3</v>
      </c>
      <c r="D23" s="103" t="s">
        <v>30</v>
      </c>
      <c r="E23" s="103" t="s">
        <v>171</v>
      </c>
      <c r="F23" s="69">
        <f t="shared" ref="F23:F32" si="2">IF(C23&lt;&gt;"",C23*$C$8,"")</f>
        <v>7.5</v>
      </c>
      <c r="G23" s="69"/>
      <c r="H23" s="69" t="str">
        <f t="shared" si="1"/>
        <v/>
      </c>
      <c r="I23" s="83" t="s">
        <v>158</v>
      </c>
      <c r="J23" s="12"/>
    </row>
    <row r="24" spans="1:10" ht="21.95" customHeight="1" x14ac:dyDescent="0.25">
      <c r="A24" s="12"/>
      <c r="B24" s="104" t="s">
        <v>172</v>
      </c>
      <c r="C24" s="101">
        <v>13</v>
      </c>
      <c r="D24" s="105" t="s">
        <v>166</v>
      </c>
      <c r="E24" s="105" t="s">
        <v>171</v>
      </c>
      <c r="F24" s="72">
        <f t="shared" si="2"/>
        <v>32.5</v>
      </c>
      <c r="G24" s="72"/>
      <c r="H24" s="72" t="str">
        <f t="shared" si="1"/>
        <v/>
      </c>
      <c r="I24" s="106"/>
      <c r="J24" s="12"/>
    </row>
    <row r="25" spans="1:10" ht="21.95" customHeight="1" x14ac:dyDescent="0.25">
      <c r="A25" s="12"/>
      <c r="B25" s="67" t="s">
        <v>173</v>
      </c>
      <c r="C25" s="98">
        <v>8</v>
      </c>
      <c r="D25" s="103" t="s">
        <v>166</v>
      </c>
      <c r="E25" s="103" t="s">
        <v>171</v>
      </c>
      <c r="F25" s="69">
        <f t="shared" si="2"/>
        <v>20</v>
      </c>
      <c r="G25" s="69"/>
      <c r="H25" s="69" t="str">
        <f t="shared" si="1"/>
        <v/>
      </c>
      <c r="I25" s="83" t="s">
        <v>158</v>
      </c>
      <c r="J25" s="12"/>
    </row>
    <row r="26" spans="1:10" ht="21.95" customHeight="1" x14ac:dyDescent="0.25">
      <c r="A26" s="12"/>
      <c r="B26" s="71" t="s">
        <v>174</v>
      </c>
      <c r="C26" s="101">
        <v>5</v>
      </c>
      <c r="D26" s="102" t="s">
        <v>30</v>
      </c>
      <c r="E26" s="102" t="s">
        <v>171</v>
      </c>
      <c r="F26" s="73">
        <f t="shared" si="2"/>
        <v>12.5</v>
      </c>
      <c r="G26" s="73"/>
      <c r="H26" s="73" t="str">
        <f t="shared" si="1"/>
        <v/>
      </c>
      <c r="I26" s="84" t="s">
        <v>158</v>
      </c>
      <c r="J26" s="12"/>
    </row>
    <row r="27" spans="1:10" ht="21.95" customHeight="1" x14ac:dyDescent="0.25">
      <c r="A27" s="12"/>
      <c r="B27" s="97" t="s">
        <v>175</v>
      </c>
      <c r="C27" s="98">
        <v>13</v>
      </c>
      <c r="D27" s="99" t="s">
        <v>32</v>
      </c>
      <c r="E27" s="99" t="s">
        <v>176</v>
      </c>
      <c r="F27" s="68">
        <f t="shared" si="2"/>
        <v>32.5</v>
      </c>
      <c r="G27" s="68"/>
      <c r="H27" s="68" t="str">
        <f t="shared" si="1"/>
        <v/>
      </c>
      <c r="I27" s="100"/>
      <c r="J27" s="12"/>
    </row>
    <row r="28" spans="1:10" ht="21.95" customHeight="1" x14ac:dyDescent="0.25">
      <c r="A28" s="12"/>
      <c r="B28" s="71" t="s">
        <v>177</v>
      </c>
      <c r="C28" s="101">
        <v>8</v>
      </c>
      <c r="D28" s="102" t="s">
        <v>32</v>
      </c>
      <c r="E28" s="102" t="s">
        <v>176</v>
      </c>
      <c r="F28" s="73">
        <f t="shared" si="2"/>
        <v>20</v>
      </c>
      <c r="G28" s="73"/>
      <c r="H28" s="73" t="str">
        <f t="shared" si="1"/>
        <v/>
      </c>
      <c r="I28" s="84" t="s">
        <v>158</v>
      </c>
      <c r="J28" s="12"/>
    </row>
    <row r="29" spans="1:10" ht="21.95" customHeight="1" x14ac:dyDescent="0.25">
      <c r="A29" s="12"/>
      <c r="B29" s="67" t="s">
        <v>178</v>
      </c>
      <c r="C29" s="98">
        <v>5</v>
      </c>
      <c r="D29" s="103" t="s">
        <v>32</v>
      </c>
      <c r="E29" s="103" t="s">
        <v>176</v>
      </c>
      <c r="F29" s="69">
        <f t="shared" si="2"/>
        <v>12.5</v>
      </c>
      <c r="G29" s="69"/>
      <c r="H29" s="69" t="str">
        <f t="shared" si="1"/>
        <v/>
      </c>
      <c r="I29" s="83" t="s">
        <v>158</v>
      </c>
      <c r="J29" s="12"/>
    </row>
    <row r="30" spans="1:10" ht="21.95" customHeight="1" x14ac:dyDescent="0.25">
      <c r="A30" s="12"/>
      <c r="B30" s="104" t="s">
        <v>179</v>
      </c>
      <c r="C30" s="101">
        <v>8</v>
      </c>
      <c r="D30" s="105" t="s">
        <v>37</v>
      </c>
      <c r="E30" s="105" t="s">
        <v>180</v>
      </c>
      <c r="F30" s="72">
        <f t="shared" si="2"/>
        <v>20</v>
      </c>
      <c r="G30" s="72"/>
      <c r="H30" s="72" t="str">
        <f t="shared" si="1"/>
        <v/>
      </c>
      <c r="I30" s="106" t="s">
        <v>158</v>
      </c>
      <c r="J30" s="12"/>
    </row>
    <row r="31" spans="1:10" ht="21.95" customHeight="1" x14ac:dyDescent="0.25">
      <c r="A31" s="12"/>
      <c r="B31" s="97" t="s">
        <v>181</v>
      </c>
      <c r="C31" s="98">
        <v>13</v>
      </c>
      <c r="D31" s="99" t="s">
        <v>32</v>
      </c>
      <c r="E31" s="99" t="s">
        <v>180</v>
      </c>
      <c r="F31" s="68">
        <f t="shared" si="2"/>
        <v>32.5</v>
      </c>
      <c r="G31" s="68"/>
      <c r="H31" s="68" t="str">
        <f t="shared" si="1"/>
        <v/>
      </c>
      <c r="I31" s="100" t="s">
        <v>158</v>
      </c>
      <c r="J31" s="12"/>
    </row>
    <row r="32" spans="1:10" ht="21.95" customHeight="1" x14ac:dyDescent="0.25">
      <c r="A32" s="12"/>
      <c r="B32" s="104" t="s">
        <v>182</v>
      </c>
      <c r="C32" s="101">
        <v>21</v>
      </c>
      <c r="D32" s="105" t="s">
        <v>30</v>
      </c>
      <c r="E32" s="105" t="s">
        <v>183</v>
      </c>
      <c r="F32" s="72">
        <f t="shared" si="2"/>
        <v>52.5</v>
      </c>
      <c r="G32" s="72"/>
      <c r="H32" s="72" t="str">
        <f t="shared" si="1"/>
        <v/>
      </c>
      <c r="I32" s="106" t="s">
        <v>158</v>
      </c>
      <c r="J32" s="12"/>
    </row>
    <row r="33" spans="1:10" ht="27.95" customHeight="1" thickBot="1" x14ac:dyDescent="0.3">
      <c r="A33" s="12"/>
      <c r="B33" s="75" t="s">
        <v>108</v>
      </c>
      <c r="C33" s="107">
        <f>SUM(C13:C32)</f>
        <v>199</v>
      </c>
      <c r="D33" s="108"/>
      <c r="E33" s="108"/>
      <c r="F33" s="76">
        <f>SUM(F13:F32)</f>
        <v>497.5</v>
      </c>
      <c r="G33" s="76">
        <f>SUM(G13:G32)</f>
        <v>0</v>
      </c>
      <c r="H33" s="76" t="str">
        <f>IF(SUM(G13:G32)&gt;0,ROUND((SUM(G13:G32)-F33)/F33*100,1)&amp;"% over/under","")</f>
        <v/>
      </c>
      <c r="I33" s="109"/>
      <c r="J33" s="12"/>
    </row>
    <row r="34" spans="1:10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</row>
    <row r="36" spans="1:10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spans="1:10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spans="1:10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spans="1:10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0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</row>
    <row r="41" spans="1:10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</row>
    <row r="42" spans="1:10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</row>
    <row r="43" spans="1:10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0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</row>
    <row r="46" spans="1:10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</row>
    <row r="49" spans="1:10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</row>
    <row r="51" spans="1:10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</row>
    <row r="54" spans="1:10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0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</row>
    <row r="59" spans="1:10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</row>
    <row r="60" spans="1:10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</row>
    <row r="63" spans="1:1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</row>
    <row r="65" spans="1:1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</row>
    <row r="67" spans="1:1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</row>
    <row r="72" spans="1:1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</row>
    <row r="75" spans="1:1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</row>
    <row r="76" spans="1:1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</row>
    <row r="77" spans="1:1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</row>
    <row r="79" spans="1:1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</row>
    <row r="80" spans="1:1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</row>
  </sheetData>
  <mergeCells count="4">
    <mergeCell ref="B11:I11"/>
    <mergeCell ref="B3:I3"/>
    <mergeCell ref="B5:I5"/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0"/>
  <sheetViews>
    <sheetView showGridLines="0"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2.85546875" customWidth="1"/>
    <col min="2" max="2" width="41.85546875" customWidth="1"/>
    <col min="3" max="4" width="22.85546875" customWidth="1"/>
    <col min="5" max="6" width="19" customWidth="1"/>
    <col min="7" max="7" width="2.85546875" customWidth="1"/>
  </cols>
  <sheetData>
    <row r="1" spans="1:7" x14ac:dyDescent="0.25">
      <c r="A1" s="302"/>
      <c r="B1" s="12"/>
      <c r="C1" s="12"/>
      <c r="D1" s="12"/>
      <c r="E1" s="12"/>
      <c r="F1" s="12"/>
      <c r="G1" s="12"/>
    </row>
    <row r="2" spans="1:7" ht="35.1" customHeight="1" x14ac:dyDescent="0.25">
      <c r="A2" s="12"/>
      <c r="B2" s="110" t="s">
        <v>184</v>
      </c>
      <c r="C2" s="16"/>
      <c r="D2" s="16"/>
      <c r="E2" s="16"/>
      <c r="F2" s="16"/>
      <c r="G2" s="12"/>
    </row>
    <row r="3" spans="1:7" ht="24.95" customHeight="1" thickBot="1" x14ac:dyDescent="0.3">
      <c r="A3" s="12"/>
      <c r="B3" s="61" t="s">
        <v>185</v>
      </c>
      <c r="C3" s="62"/>
      <c r="D3" s="62"/>
      <c r="E3" s="62"/>
      <c r="F3" s="62"/>
      <c r="G3" s="12"/>
    </row>
    <row r="4" spans="1:7" ht="8.1" customHeight="1" thickTop="1" x14ac:dyDescent="0.25">
      <c r="A4" s="12"/>
      <c r="B4" s="18"/>
      <c r="C4" s="18"/>
      <c r="D4" s="18"/>
      <c r="E4" s="18"/>
      <c r="F4" s="18"/>
      <c r="G4" s="12"/>
    </row>
    <row r="5" spans="1:7" ht="27.95" customHeight="1" thickBot="1" x14ac:dyDescent="0.35">
      <c r="A5" s="12"/>
      <c r="B5" s="111" t="s">
        <v>186</v>
      </c>
      <c r="C5" s="19"/>
      <c r="D5" s="19"/>
      <c r="E5" s="19"/>
      <c r="F5" s="19"/>
      <c r="G5" s="12"/>
    </row>
    <row r="6" spans="1:7" ht="27.95" customHeight="1" x14ac:dyDescent="0.25">
      <c r="A6" s="12"/>
      <c r="B6" s="64" t="s">
        <v>187</v>
      </c>
      <c r="C6" s="65" t="s">
        <v>188</v>
      </c>
      <c r="D6" s="65" t="s">
        <v>189</v>
      </c>
      <c r="E6" s="65" t="s">
        <v>190</v>
      </c>
      <c r="F6" s="66" t="s">
        <v>191</v>
      </c>
      <c r="G6" s="12"/>
    </row>
    <row r="7" spans="1:7" ht="21.95" customHeight="1" x14ac:dyDescent="0.25">
      <c r="A7" s="12"/>
      <c r="B7" s="67" t="s">
        <v>192</v>
      </c>
      <c r="C7" s="68">
        <v>320</v>
      </c>
      <c r="D7" s="68">
        <v>1</v>
      </c>
      <c r="E7" s="69">
        <f t="shared" ref="E7:E12" si="0">C7*D7</f>
        <v>320</v>
      </c>
      <c r="F7" s="112">
        <v>0.85</v>
      </c>
      <c r="G7" s="12"/>
    </row>
    <row r="8" spans="1:7" ht="21.95" customHeight="1" x14ac:dyDescent="0.25">
      <c r="A8" s="12"/>
      <c r="B8" s="71" t="s">
        <v>193</v>
      </c>
      <c r="C8" s="72">
        <v>240</v>
      </c>
      <c r="D8" s="72">
        <v>0.9</v>
      </c>
      <c r="E8" s="73">
        <f t="shared" si="0"/>
        <v>216</v>
      </c>
      <c r="F8" s="113">
        <v>0.7</v>
      </c>
      <c r="G8" s="12"/>
    </row>
    <row r="9" spans="1:7" ht="21.95" customHeight="1" x14ac:dyDescent="0.25">
      <c r="A9" s="12"/>
      <c r="B9" s="67" t="s">
        <v>194</v>
      </c>
      <c r="C9" s="68">
        <v>180</v>
      </c>
      <c r="D9" s="68">
        <v>1.1000000000000001</v>
      </c>
      <c r="E9" s="69">
        <f t="shared" si="0"/>
        <v>198.00000000000003</v>
      </c>
      <c r="F9" s="112">
        <v>0.6</v>
      </c>
      <c r="G9" s="12"/>
    </row>
    <row r="10" spans="1:7" ht="21.95" customHeight="1" x14ac:dyDescent="0.25">
      <c r="A10" s="12"/>
      <c r="B10" s="71" t="s">
        <v>195</v>
      </c>
      <c r="C10" s="72">
        <v>280</v>
      </c>
      <c r="D10" s="72">
        <v>1.2</v>
      </c>
      <c r="E10" s="73">
        <f t="shared" si="0"/>
        <v>336</v>
      </c>
      <c r="F10" s="113">
        <v>0.75</v>
      </c>
      <c r="G10" s="12"/>
    </row>
    <row r="11" spans="1:7" ht="21.95" customHeight="1" x14ac:dyDescent="0.25">
      <c r="A11" s="12"/>
      <c r="B11" s="67" t="s">
        <v>196</v>
      </c>
      <c r="C11" s="68">
        <v>400</v>
      </c>
      <c r="D11" s="68">
        <v>1.3</v>
      </c>
      <c r="E11" s="69">
        <f t="shared" si="0"/>
        <v>520</v>
      </c>
      <c r="F11" s="112">
        <v>0.5</v>
      </c>
      <c r="G11" s="12"/>
    </row>
    <row r="12" spans="1:7" ht="21.95" customHeight="1" thickBot="1" x14ac:dyDescent="0.3">
      <c r="A12" s="12"/>
      <c r="B12" s="114" t="s">
        <v>197</v>
      </c>
      <c r="C12" s="115">
        <v>350</v>
      </c>
      <c r="D12" s="115">
        <v>1.1000000000000001</v>
      </c>
      <c r="E12" s="116">
        <f t="shared" si="0"/>
        <v>385.00000000000006</v>
      </c>
      <c r="F12" s="117">
        <v>0.65</v>
      </c>
      <c r="G12" s="12"/>
    </row>
    <row r="13" spans="1:7" ht="27.95" customHeight="1" thickBot="1" x14ac:dyDescent="0.35">
      <c r="A13" s="12"/>
      <c r="B13" s="118" t="s">
        <v>198</v>
      </c>
      <c r="C13" s="119"/>
      <c r="D13" s="119"/>
      <c r="E13" s="119"/>
      <c r="F13" s="19"/>
      <c r="G13" s="12"/>
    </row>
    <row r="14" spans="1:7" ht="30" customHeight="1" x14ac:dyDescent="0.3">
      <c r="A14" s="12"/>
      <c r="B14" s="120" t="s">
        <v>199</v>
      </c>
      <c r="C14" s="123"/>
      <c r="D14" s="124"/>
      <c r="E14" s="121">
        <f>ROUND(SUMPRODUCT(E7:E12,F7:F12)/SUM(F7:F12),1)</f>
        <v>322</v>
      </c>
      <c r="F14" s="122" t="str">
        <f>IF(E14&lt;200,"🟢 Low Effort",IF(E14&lt;400,"🟡 Medium","🔴 High Effort"))</f>
        <v>🟡 Medium</v>
      </c>
      <c r="G14" s="12"/>
    </row>
    <row r="15" spans="1:7" x14ac:dyDescent="0.25">
      <c r="A15" s="12"/>
      <c r="B15" s="12"/>
      <c r="C15" s="12"/>
      <c r="D15" s="12"/>
      <c r="E15" s="12"/>
      <c r="F15" s="12"/>
      <c r="G15" s="12"/>
    </row>
    <row r="16" spans="1:7" x14ac:dyDescent="0.25">
      <c r="A16" s="12"/>
      <c r="B16" s="12"/>
      <c r="C16" s="12"/>
      <c r="D16" s="12"/>
      <c r="E16" s="12"/>
      <c r="F16" s="12"/>
      <c r="G16" s="12"/>
    </row>
    <row r="17" spans="1:7" x14ac:dyDescent="0.25">
      <c r="A17" s="12"/>
      <c r="B17" s="12"/>
      <c r="C17" s="12"/>
      <c r="D17" s="12"/>
      <c r="E17" s="12"/>
      <c r="F17" s="12"/>
      <c r="G17" s="12"/>
    </row>
    <row r="18" spans="1:7" x14ac:dyDescent="0.25">
      <c r="A18" s="12"/>
      <c r="B18" s="12"/>
      <c r="C18" s="12"/>
      <c r="D18" s="12"/>
      <c r="E18" s="12"/>
      <c r="F18" s="12"/>
      <c r="G18" s="12"/>
    </row>
    <row r="19" spans="1:7" x14ac:dyDescent="0.25">
      <c r="A19" s="12"/>
      <c r="B19" s="12"/>
      <c r="C19" s="12"/>
      <c r="D19" s="12"/>
      <c r="E19" s="12"/>
      <c r="F19" s="12"/>
      <c r="G19" s="12"/>
    </row>
    <row r="20" spans="1:7" x14ac:dyDescent="0.25">
      <c r="A20" s="12"/>
      <c r="B20" s="12"/>
      <c r="C20" s="12"/>
      <c r="D20" s="12"/>
      <c r="E20" s="12"/>
      <c r="F20" s="12"/>
      <c r="G20" s="12"/>
    </row>
    <row r="21" spans="1:7" x14ac:dyDescent="0.25">
      <c r="A21" s="1"/>
      <c r="B21" s="1"/>
      <c r="C21" s="1"/>
      <c r="D21" s="1"/>
      <c r="E21" s="1"/>
      <c r="F21" s="1"/>
      <c r="G21" s="1"/>
    </row>
    <row r="22" spans="1:7" x14ac:dyDescent="0.25">
      <c r="A22" s="1"/>
      <c r="B22" s="1"/>
      <c r="C22" s="1"/>
      <c r="D22" s="1"/>
      <c r="E22" s="1"/>
      <c r="F22" s="1"/>
      <c r="G22" s="1"/>
    </row>
    <row r="23" spans="1:7" x14ac:dyDescent="0.25">
      <c r="A23" s="1"/>
      <c r="B23" s="1"/>
      <c r="C23" s="1"/>
      <c r="D23" s="1"/>
      <c r="E23" s="1"/>
      <c r="F23" s="1"/>
      <c r="G23" s="1"/>
    </row>
    <row r="24" spans="1:7" x14ac:dyDescent="0.25">
      <c r="A24" s="1"/>
      <c r="B24" s="1"/>
      <c r="C24" s="1"/>
      <c r="D24" s="1"/>
      <c r="E24" s="1"/>
      <c r="F24" s="1"/>
      <c r="G24" s="1"/>
    </row>
    <row r="25" spans="1:7" x14ac:dyDescent="0.25">
      <c r="A25" s="1"/>
      <c r="B25" s="1"/>
      <c r="C25" s="1"/>
      <c r="D25" s="1"/>
      <c r="E25" s="1"/>
      <c r="F25" s="1"/>
      <c r="G25" s="1"/>
    </row>
    <row r="26" spans="1:7" x14ac:dyDescent="0.25">
      <c r="A26" s="1"/>
      <c r="B26" s="1"/>
      <c r="C26" s="1"/>
      <c r="D26" s="1"/>
      <c r="E26" s="1"/>
      <c r="F26" s="1"/>
      <c r="G26" s="1"/>
    </row>
    <row r="27" spans="1:7" x14ac:dyDescent="0.25">
      <c r="A27" s="1"/>
      <c r="B27" s="1"/>
      <c r="C27" s="1"/>
      <c r="D27" s="1"/>
      <c r="E27" s="1"/>
      <c r="F27" s="1"/>
      <c r="G27" s="1"/>
    </row>
    <row r="28" spans="1:7" x14ac:dyDescent="0.25">
      <c r="A28" s="1"/>
      <c r="B28" s="1"/>
      <c r="C28" s="1"/>
      <c r="D28" s="1"/>
      <c r="E28" s="1"/>
      <c r="F28" s="1"/>
      <c r="G28" s="1"/>
    </row>
    <row r="29" spans="1:7" x14ac:dyDescent="0.25">
      <c r="A29" s="1"/>
      <c r="B29" s="1"/>
      <c r="C29" s="1"/>
      <c r="D29" s="1"/>
      <c r="E29" s="1"/>
      <c r="F29" s="1"/>
      <c r="G29" s="1"/>
    </row>
    <row r="30" spans="1:7" x14ac:dyDescent="0.25">
      <c r="A30" s="1"/>
      <c r="B30" s="1"/>
      <c r="C30" s="1"/>
      <c r="D30" s="1"/>
      <c r="E30" s="1"/>
      <c r="F30" s="1"/>
      <c r="G30" s="1"/>
    </row>
    <row r="31" spans="1:7" x14ac:dyDescent="0.25">
      <c r="A31" s="1"/>
      <c r="B31" s="1"/>
      <c r="C31" s="1"/>
      <c r="D31" s="1"/>
      <c r="E31" s="1"/>
      <c r="F31" s="1"/>
      <c r="G31" s="1"/>
    </row>
    <row r="32" spans="1:7" x14ac:dyDescent="0.25">
      <c r="A32" s="1"/>
      <c r="B32" s="1"/>
      <c r="C32" s="1"/>
      <c r="D32" s="1"/>
      <c r="E32" s="1"/>
      <c r="F32" s="1"/>
      <c r="G32" s="1"/>
    </row>
    <row r="33" spans="1:7" x14ac:dyDescent="0.25">
      <c r="A33" s="1"/>
      <c r="B33" s="1"/>
      <c r="C33" s="1"/>
      <c r="D33" s="1"/>
      <c r="E33" s="1"/>
      <c r="F33" s="1"/>
      <c r="G33" s="1"/>
    </row>
    <row r="34" spans="1:7" x14ac:dyDescent="0.25">
      <c r="A34" s="1"/>
      <c r="B34" s="1"/>
      <c r="C34" s="1"/>
      <c r="D34" s="1"/>
      <c r="E34" s="1"/>
      <c r="F34" s="1"/>
      <c r="G34" s="1"/>
    </row>
    <row r="35" spans="1:7" x14ac:dyDescent="0.25">
      <c r="A35" s="1"/>
      <c r="B35" s="1"/>
      <c r="C35" s="1"/>
      <c r="D35" s="1"/>
      <c r="E35" s="1"/>
      <c r="F35" s="1"/>
      <c r="G35" s="1"/>
    </row>
    <row r="36" spans="1:7" x14ac:dyDescent="0.25">
      <c r="A36" s="1"/>
      <c r="B36" s="1"/>
      <c r="C36" s="1"/>
      <c r="D36" s="1"/>
      <c r="E36" s="1"/>
      <c r="F36" s="1"/>
      <c r="G36" s="1"/>
    </row>
    <row r="37" spans="1:7" x14ac:dyDescent="0.25">
      <c r="A37" s="1"/>
      <c r="B37" s="1"/>
      <c r="C37" s="1"/>
      <c r="D37" s="1"/>
      <c r="E37" s="1"/>
      <c r="F37" s="1"/>
      <c r="G37" s="1"/>
    </row>
    <row r="38" spans="1:7" x14ac:dyDescent="0.25">
      <c r="A38" s="1"/>
      <c r="B38" s="1"/>
      <c r="C38" s="1"/>
      <c r="D38" s="1"/>
      <c r="E38" s="1"/>
      <c r="F38" s="1"/>
      <c r="G38" s="1"/>
    </row>
    <row r="39" spans="1:7" x14ac:dyDescent="0.25">
      <c r="A39" s="1"/>
      <c r="B39" s="1"/>
      <c r="C39" s="1"/>
      <c r="D39" s="1"/>
      <c r="E39" s="1"/>
      <c r="F39" s="1"/>
      <c r="G39" s="1"/>
    </row>
    <row r="40" spans="1:7" x14ac:dyDescent="0.25">
      <c r="A40" s="1"/>
      <c r="B40" s="1"/>
      <c r="C40" s="1"/>
      <c r="D40" s="1"/>
      <c r="E40" s="1"/>
      <c r="F40" s="1"/>
      <c r="G40" s="1"/>
    </row>
    <row r="41" spans="1:7" x14ac:dyDescent="0.25">
      <c r="A41" s="1"/>
      <c r="B41" s="1"/>
      <c r="C41" s="1"/>
      <c r="D41" s="1"/>
      <c r="E41" s="1"/>
      <c r="F41" s="1"/>
      <c r="G41" s="1"/>
    </row>
    <row r="42" spans="1:7" x14ac:dyDescent="0.25">
      <c r="A42" s="1"/>
      <c r="B42" s="1"/>
      <c r="C42" s="1"/>
      <c r="D42" s="1"/>
      <c r="E42" s="1"/>
      <c r="F42" s="1"/>
      <c r="G42" s="1"/>
    </row>
    <row r="43" spans="1:7" x14ac:dyDescent="0.25">
      <c r="A43" s="1"/>
      <c r="B43" s="1"/>
      <c r="C43" s="1"/>
      <c r="D43" s="1"/>
      <c r="E43" s="1"/>
      <c r="F43" s="1"/>
      <c r="G43" s="1"/>
    </row>
    <row r="44" spans="1:7" x14ac:dyDescent="0.25">
      <c r="A44" s="1"/>
      <c r="B44" s="1"/>
      <c r="C44" s="1"/>
      <c r="D44" s="1"/>
      <c r="E44" s="1"/>
      <c r="F44" s="1"/>
      <c r="G44" s="1"/>
    </row>
    <row r="45" spans="1:7" x14ac:dyDescent="0.25">
      <c r="A45" s="1"/>
      <c r="B45" s="1"/>
      <c r="C45" s="1"/>
      <c r="D45" s="1"/>
      <c r="E45" s="1"/>
      <c r="F45" s="1"/>
      <c r="G45" s="1"/>
    </row>
    <row r="46" spans="1:7" x14ac:dyDescent="0.25">
      <c r="A46" s="1"/>
      <c r="B46" s="1"/>
      <c r="C46" s="1"/>
      <c r="D46" s="1"/>
      <c r="E46" s="1"/>
      <c r="F46" s="1"/>
      <c r="G46" s="1"/>
    </row>
    <row r="47" spans="1:7" x14ac:dyDescent="0.25">
      <c r="A47" s="1"/>
      <c r="B47" s="1"/>
      <c r="C47" s="1"/>
      <c r="D47" s="1"/>
      <c r="E47" s="1"/>
      <c r="F47" s="1"/>
      <c r="G47" s="1"/>
    </row>
    <row r="48" spans="1:7" x14ac:dyDescent="0.25">
      <c r="A48" s="1"/>
      <c r="B48" s="1"/>
      <c r="C48" s="1"/>
      <c r="D48" s="1"/>
      <c r="E48" s="1"/>
      <c r="F48" s="1"/>
      <c r="G48" s="1"/>
    </row>
    <row r="49" spans="1:7" x14ac:dyDescent="0.25">
      <c r="A49" s="1"/>
      <c r="B49" s="1"/>
      <c r="C49" s="1"/>
      <c r="D49" s="1"/>
      <c r="E49" s="1"/>
      <c r="F49" s="1"/>
      <c r="G49" s="1"/>
    </row>
    <row r="50" spans="1:7" x14ac:dyDescent="0.25">
      <c r="A50" s="1"/>
      <c r="B50" s="1"/>
      <c r="C50" s="1"/>
      <c r="D50" s="1"/>
      <c r="E50" s="1"/>
      <c r="F50" s="1"/>
      <c r="G50" s="1"/>
    </row>
    <row r="51" spans="1:7" x14ac:dyDescent="0.25">
      <c r="A51" s="1"/>
      <c r="B51" s="1"/>
      <c r="C51" s="1"/>
      <c r="D51" s="1"/>
      <c r="E51" s="1"/>
      <c r="F51" s="1"/>
      <c r="G51" s="1"/>
    </row>
    <row r="52" spans="1:7" x14ac:dyDescent="0.25">
      <c r="A52" s="1"/>
      <c r="B52" s="1"/>
      <c r="C52" s="1"/>
      <c r="D52" s="1"/>
      <c r="E52" s="1"/>
      <c r="F52" s="1"/>
      <c r="G52" s="1"/>
    </row>
    <row r="53" spans="1:7" x14ac:dyDescent="0.25">
      <c r="A53" s="1"/>
      <c r="B53" s="1"/>
      <c r="C53" s="1"/>
      <c r="D53" s="1"/>
      <c r="E53" s="1"/>
      <c r="F53" s="1"/>
      <c r="G53" s="1"/>
    </row>
    <row r="54" spans="1:7" x14ac:dyDescent="0.25">
      <c r="A54" s="1"/>
      <c r="B54" s="1"/>
      <c r="C54" s="1"/>
      <c r="D54" s="1"/>
      <c r="E54" s="1"/>
      <c r="F54" s="1"/>
      <c r="G54" s="1"/>
    </row>
    <row r="55" spans="1:7" x14ac:dyDescent="0.25">
      <c r="A55" s="1"/>
      <c r="B55" s="1"/>
      <c r="C55" s="1"/>
      <c r="D55" s="1"/>
      <c r="E55" s="1"/>
      <c r="F55" s="1"/>
      <c r="G55" s="1"/>
    </row>
    <row r="56" spans="1:7" x14ac:dyDescent="0.25">
      <c r="A56" s="1"/>
      <c r="B56" s="1"/>
      <c r="C56" s="1"/>
      <c r="D56" s="1"/>
      <c r="E56" s="1"/>
      <c r="F56" s="1"/>
      <c r="G56" s="1"/>
    </row>
    <row r="57" spans="1:7" x14ac:dyDescent="0.25">
      <c r="A57" s="1"/>
      <c r="B57" s="1"/>
      <c r="C57" s="1"/>
      <c r="D57" s="1"/>
      <c r="E57" s="1"/>
      <c r="F57" s="1"/>
      <c r="G57" s="1"/>
    </row>
    <row r="58" spans="1:7" x14ac:dyDescent="0.25">
      <c r="A58" s="1"/>
      <c r="B58" s="1"/>
      <c r="C58" s="1"/>
      <c r="D58" s="1"/>
      <c r="E58" s="1"/>
      <c r="F58" s="1"/>
      <c r="G58" s="1"/>
    </row>
    <row r="59" spans="1:7" x14ac:dyDescent="0.25">
      <c r="A59" s="1"/>
      <c r="B59" s="1"/>
      <c r="C59" s="1"/>
      <c r="D59" s="1"/>
      <c r="E59" s="1"/>
      <c r="F59" s="1"/>
      <c r="G59" s="1"/>
    </row>
    <row r="60" spans="1:7" x14ac:dyDescent="0.25">
      <c r="A60" s="1"/>
      <c r="B60" s="1"/>
      <c r="C60" s="1"/>
      <c r="D60" s="1"/>
      <c r="E60" s="1"/>
      <c r="F60" s="1"/>
      <c r="G60" s="1"/>
    </row>
  </sheetData>
  <mergeCells count="5">
    <mergeCell ref="B2:F2"/>
    <mergeCell ref="B3:F3"/>
    <mergeCell ref="B5:F5"/>
    <mergeCell ref="B14:C14"/>
    <mergeCell ref="B13:F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0"/>
  <sheetViews>
    <sheetView showGridLines="0" workbookViewId="0">
      <pane ySplit="12" topLeftCell="A13" activePane="bottomLeft" state="frozen"/>
      <selection pane="bottomLeft" activeCell="A13" sqref="A13"/>
    </sheetView>
  </sheetViews>
  <sheetFormatPr defaultRowHeight="15" x14ac:dyDescent="0.25"/>
  <cols>
    <col min="1" max="1" width="2.85546875" customWidth="1"/>
    <col min="2" max="2" width="38.140625" customWidth="1"/>
    <col min="3" max="5" width="19" customWidth="1"/>
    <col min="6" max="6" width="15.28515625" customWidth="1"/>
    <col min="7" max="7" width="21" customWidth="1"/>
    <col min="8" max="8" width="15.28515625" customWidth="1"/>
    <col min="9" max="9" width="2.85546875" customWidth="1"/>
  </cols>
  <sheetData>
    <row r="1" spans="1:9" x14ac:dyDescent="0.25">
      <c r="A1" s="302"/>
      <c r="B1" s="12"/>
      <c r="C1" s="12"/>
      <c r="D1" s="12"/>
      <c r="E1" s="12"/>
      <c r="F1" s="12"/>
      <c r="G1" s="12"/>
      <c r="H1" s="12"/>
      <c r="I1" s="12"/>
    </row>
    <row r="2" spans="1:9" ht="35.1" customHeight="1" x14ac:dyDescent="0.25">
      <c r="A2" s="12"/>
      <c r="B2" s="125" t="s">
        <v>200</v>
      </c>
      <c r="C2" s="16"/>
      <c r="D2" s="16"/>
      <c r="E2" s="16"/>
      <c r="F2" s="16"/>
      <c r="G2" s="16"/>
      <c r="H2" s="16"/>
      <c r="I2" s="12"/>
    </row>
    <row r="3" spans="1:9" ht="24.95" customHeight="1" thickBot="1" x14ac:dyDescent="0.3">
      <c r="A3" s="12"/>
      <c r="B3" s="61" t="s">
        <v>201</v>
      </c>
      <c r="C3" s="62"/>
      <c r="D3" s="62"/>
      <c r="E3" s="62"/>
      <c r="F3" s="62"/>
      <c r="G3" s="62"/>
      <c r="H3" s="62"/>
      <c r="I3" s="12"/>
    </row>
    <row r="4" spans="1:9" ht="8.1" customHeight="1" thickTop="1" x14ac:dyDescent="0.25">
      <c r="A4" s="12"/>
      <c r="B4" s="18"/>
      <c r="C4" s="18"/>
      <c r="D4" s="18"/>
      <c r="E4" s="18"/>
      <c r="F4" s="18"/>
      <c r="G4" s="18"/>
      <c r="H4" s="18"/>
      <c r="I4" s="12"/>
    </row>
    <row r="5" spans="1:9" ht="27.95" customHeight="1" x14ac:dyDescent="0.3">
      <c r="A5" s="12"/>
      <c r="B5" s="129" t="s">
        <v>202</v>
      </c>
      <c r="C5" s="19"/>
      <c r="D5" s="19"/>
      <c r="E5" s="19"/>
      <c r="F5" s="19"/>
      <c r="G5" s="19"/>
      <c r="H5" s="19"/>
      <c r="I5" s="12"/>
    </row>
    <row r="6" spans="1:9" ht="21.95" customHeight="1" x14ac:dyDescent="0.25">
      <c r="A6" s="12"/>
      <c r="B6" s="35" t="s">
        <v>203</v>
      </c>
      <c r="C6" s="130" t="s">
        <v>204</v>
      </c>
      <c r="D6" s="130" t="s">
        <v>205</v>
      </c>
      <c r="E6" s="131" t="s">
        <v>206</v>
      </c>
      <c r="F6" s="127"/>
      <c r="G6" s="12"/>
      <c r="H6" s="12"/>
      <c r="I6" s="12"/>
    </row>
    <row r="7" spans="1:9" ht="21.95" customHeight="1" x14ac:dyDescent="0.25">
      <c r="A7" s="12"/>
      <c r="B7" s="37" t="s">
        <v>207</v>
      </c>
      <c r="C7" s="102">
        <v>5</v>
      </c>
      <c r="D7" s="102">
        <v>10</v>
      </c>
      <c r="E7" s="132">
        <v>15</v>
      </c>
      <c r="F7" s="128"/>
      <c r="G7" s="12"/>
      <c r="H7" s="12"/>
      <c r="I7" s="12"/>
    </row>
    <row r="8" spans="1:9" ht="21.95" customHeight="1" x14ac:dyDescent="0.25">
      <c r="A8" s="12"/>
      <c r="B8" s="39" t="s">
        <v>208</v>
      </c>
      <c r="C8" s="103" t="s">
        <v>209</v>
      </c>
      <c r="D8" s="103" t="s">
        <v>210</v>
      </c>
      <c r="E8" s="133" t="s">
        <v>211</v>
      </c>
      <c r="F8" s="127"/>
      <c r="G8" s="12"/>
      <c r="H8" s="12"/>
      <c r="I8" s="12"/>
    </row>
    <row r="9" spans="1:9" ht="21.95" customHeight="1" x14ac:dyDescent="0.25">
      <c r="A9" s="12"/>
      <c r="B9" s="41" t="s">
        <v>212</v>
      </c>
      <c r="C9" s="134">
        <v>1</v>
      </c>
      <c r="D9" s="134">
        <v>2</v>
      </c>
      <c r="E9" s="135">
        <v>3</v>
      </c>
      <c r="F9" s="128"/>
      <c r="G9" s="12"/>
      <c r="H9" s="12"/>
      <c r="I9" s="12"/>
    </row>
    <row r="10" spans="1:9" x14ac:dyDescent="0.25">
      <c r="A10" s="12"/>
      <c r="B10" s="12"/>
      <c r="C10" s="12"/>
      <c r="D10" s="12"/>
      <c r="E10" s="12"/>
      <c r="F10" s="12"/>
      <c r="G10" s="12"/>
      <c r="H10" s="12"/>
      <c r="I10" s="12"/>
    </row>
    <row r="11" spans="1:9" ht="27.95" customHeight="1" thickBot="1" x14ac:dyDescent="0.35">
      <c r="A11" s="12"/>
      <c r="B11" s="129" t="s">
        <v>213</v>
      </c>
      <c r="C11" s="19"/>
      <c r="D11" s="19"/>
      <c r="E11" s="19"/>
      <c r="F11" s="19"/>
      <c r="G11" s="19"/>
      <c r="H11" s="19"/>
      <c r="I11" s="12"/>
    </row>
    <row r="12" spans="1:9" ht="27.95" customHeight="1" x14ac:dyDescent="0.25">
      <c r="A12" s="12"/>
      <c r="B12" s="64" t="s">
        <v>214</v>
      </c>
      <c r="C12" s="65" t="s">
        <v>215</v>
      </c>
      <c r="D12" s="65" t="s">
        <v>216</v>
      </c>
      <c r="E12" s="65" t="s">
        <v>217</v>
      </c>
      <c r="F12" s="65" t="s">
        <v>218</v>
      </c>
      <c r="G12" s="65" t="s">
        <v>219</v>
      </c>
      <c r="H12" s="66"/>
      <c r="I12" s="12"/>
    </row>
    <row r="13" spans="1:9" ht="21.95" customHeight="1" x14ac:dyDescent="0.25">
      <c r="A13" s="12"/>
      <c r="B13" s="67" t="s">
        <v>220</v>
      </c>
      <c r="C13" s="103" t="s">
        <v>221</v>
      </c>
      <c r="D13" s="99">
        <v>5</v>
      </c>
      <c r="E13" s="103" t="s">
        <v>221</v>
      </c>
      <c r="F13" s="99">
        <v>1</v>
      </c>
      <c r="G13" s="103">
        <f>D13+F13</f>
        <v>6</v>
      </c>
      <c r="H13" s="83"/>
      <c r="I13" s="12"/>
    </row>
    <row r="14" spans="1:9" ht="21.95" customHeight="1" x14ac:dyDescent="0.25">
      <c r="A14" s="12"/>
      <c r="B14" s="71" t="s">
        <v>222</v>
      </c>
      <c r="C14" s="102" t="s">
        <v>221</v>
      </c>
      <c r="D14" s="105">
        <v>5</v>
      </c>
      <c r="E14" s="102" t="s">
        <v>223</v>
      </c>
      <c r="F14" s="105">
        <v>2</v>
      </c>
      <c r="G14" s="102">
        <f>D14+F14</f>
        <v>7</v>
      </c>
      <c r="H14" s="84"/>
      <c r="I14" s="12"/>
    </row>
    <row r="15" spans="1:9" ht="21.95" customHeight="1" x14ac:dyDescent="0.25">
      <c r="A15" s="12"/>
      <c r="B15" s="67" t="s">
        <v>224</v>
      </c>
      <c r="C15" s="103" t="s">
        <v>223</v>
      </c>
      <c r="D15" s="99">
        <v>10</v>
      </c>
      <c r="E15" s="103" t="s">
        <v>223</v>
      </c>
      <c r="F15" s="99">
        <v>2</v>
      </c>
      <c r="G15" s="103">
        <f>D15+F15</f>
        <v>12</v>
      </c>
      <c r="H15" s="83"/>
      <c r="I15" s="12"/>
    </row>
    <row r="16" spans="1:9" ht="21.95" customHeight="1" x14ac:dyDescent="0.25">
      <c r="A16" s="12"/>
      <c r="B16" s="71" t="s">
        <v>225</v>
      </c>
      <c r="C16" s="102" t="s">
        <v>223</v>
      </c>
      <c r="D16" s="105">
        <v>10</v>
      </c>
      <c r="E16" s="102" t="s">
        <v>223</v>
      </c>
      <c r="F16" s="105">
        <v>2</v>
      </c>
      <c r="G16" s="102">
        <f>D16+F16</f>
        <v>12</v>
      </c>
      <c r="H16" s="84" t="str">
        <f>IF(C34&lt;200,"🟢 Low",IF(C34&lt;400,"🟡 Medium","🔴 High"))</f>
        <v>🔴 High</v>
      </c>
      <c r="I16" s="12"/>
    </row>
    <row r="17" spans="1:9" ht="21.95" customHeight="1" x14ac:dyDescent="0.25">
      <c r="A17" s="12"/>
      <c r="B17" s="67" t="s">
        <v>226</v>
      </c>
      <c r="C17" s="103" t="s">
        <v>223</v>
      </c>
      <c r="D17" s="99">
        <v>10</v>
      </c>
      <c r="E17" s="103" t="s">
        <v>227</v>
      </c>
      <c r="F17" s="99">
        <v>3</v>
      </c>
      <c r="G17" s="103">
        <f t="shared" ref="G17:G26" si="0">D17+F17</f>
        <v>13</v>
      </c>
      <c r="H17" s="83"/>
      <c r="I17" s="12"/>
    </row>
    <row r="18" spans="1:9" ht="21.95" customHeight="1" x14ac:dyDescent="0.25">
      <c r="A18" s="12"/>
      <c r="B18" s="71" t="s">
        <v>228</v>
      </c>
      <c r="C18" s="102" t="s">
        <v>227</v>
      </c>
      <c r="D18" s="105">
        <v>15</v>
      </c>
      <c r="E18" s="102" t="s">
        <v>227</v>
      </c>
      <c r="F18" s="105">
        <v>3</v>
      </c>
      <c r="G18" s="102">
        <f t="shared" si="0"/>
        <v>18</v>
      </c>
      <c r="H18" s="84"/>
      <c r="I18" s="12"/>
    </row>
    <row r="19" spans="1:9" ht="21.95" customHeight="1" x14ac:dyDescent="0.25">
      <c r="A19" s="12"/>
      <c r="B19" s="67" t="s">
        <v>229</v>
      </c>
      <c r="C19" s="103" t="s">
        <v>227</v>
      </c>
      <c r="D19" s="99">
        <v>15</v>
      </c>
      <c r="E19" s="103" t="s">
        <v>227</v>
      </c>
      <c r="F19" s="99">
        <v>3</v>
      </c>
      <c r="G19" s="103">
        <f t="shared" si="0"/>
        <v>18</v>
      </c>
      <c r="H19" s="83"/>
      <c r="I19" s="12"/>
    </row>
    <row r="20" spans="1:9" ht="21.95" customHeight="1" x14ac:dyDescent="0.25">
      <c r="A20" s="12"/>
      <c r="B20" s="71" t="s">
        <v>230</v>
      </c>
      <c r="C20" s="102" t="s">
        <v>223</v>
      </c>
      <c r="D20" s="105">
        <v>10</v>
      </c>
      <c r="E20" s="102" t="s">
        <v>223</v>
      </c>
      <c r="F20" s="105">
        <v>2</v>
      </c>
      <c r="G20" s="102">
        <f t="shared" si="0"/>
        <v>12</v>
      </c>
      <c r="H20" s="84"/>
      <c r="I20" s="12"/>
    </row>
    <row r="21" spans="1:9" ht="21.95" customHeight="1" x14ac:dyDescent="0.25">
      <c r="A21" s="12"/>
      <c r="B21" s="67" t="s">
        <v>231</v>
      </c>
      <c r="C21" s="103" t="s">
        <v>223</v>
      </c>
      <c r="D21" s="99">
        <v>10</v>
      </c>
      <c r="E21" s="103" t="s">
        <v>223</v>
      </c>
      <c r="F21" s="99">
        <v>2</v>
      </c>
      <c r="G21" s="103">
        <f t="shared" si="0"/>
        <v>12</v>
      </c>
      <c r="H21" s="83"/>
      <c r="I21" s="12"/>
    </row>
    <row r="22" spans="1:9" ht="21.95" customHeight="1" x14ac:dyDescent="0.25">
      <c r="A22" s="12"/>
      <c r="B22" s="71" t="s">
        <v>232</v>
      </c>
      <c r="C22" s="102" t="s">
        <v>227</v>
      </c>
      <c r="D22" s="105">
        <v>15</v>
      </c>
      <c r="E22" s="102" t="s">
        <v>223</v>
      </c>
      <c r="F22" s="105">
        <v>2</v>
      </c>
      <c r="G22" s="102">
        <f t="shared" si="0"/>
        <v>17</v>
      </c>
      <c r="H22" s="84"/>
      <c r="I22" s="12"/>
    </row>
    <row r="23" spans="1:9" ht="21.95" customHeight="1" x14ac:dyDescent="0.25">
      <c r="A23" s="12"/>
      <c r="B23" s="67" t="s">
        <v>233</v>
      </c>
      <c r="C23" s="103" t="s">
        <v>223</v>
      </c>
      <c r="D23" s="99">
        <v>10</v>
      </c>
      <c r="E23" s="103" t="s">
        <v>221</v>
      </c>
      <c r="F23" s="99">
        <v>1</v>
      </c>
      <c r="G23" s="103">
        <f t="shared" si="0"/>
        <v>11</v>
      </c>
      <c r="H23" s="83"/>
      <c r="I23" s="12"/>
    </row>
    <row r="24" spans="1:9" ht="21.95" customHeight="1" x14ac:dyDescent="0.25">
      <c r="A24" s="12"/>
      <c r="B24" s="71" t="s">
        <v>234</v>
      </c>
      <c r="C24" s="102" t="s">
        <v>223</v>
      </c>
      <c r="D24" s="105">
        <v>10</v>
      </c>
      <c r="E24" s="102" t="s">
        <v>221</v>
      </c>
      <c r="F24" s="105">
        <v>1</v>
      </c>
      <c r="G24" s="102">
        <f t="shared" si="0"/>
        <v>11</v>
      </c>
      <c r="H24" s="84"/>
      <c r="I24" s="12"/>
    </row>
    <row r="25" spans="1:9" ht="21.95" customHeight="1" x14ac:dyDescent="0.25">
      <c r="A25" s="12"/>
      <c r="B25" s="67" t="s">
        <v>235</v>
      </c>
      <c r="C25" s="103" t="s">
        <v>221</v>
      </c>
      <c r="D25" s="99">
        <v>5</v>
      </c>
      <c r="E25" s="103" t="s">
        <v>223</v>
      </c>
      <c r="F25" s="99">
        <v>2</v>
      </c>
      <c r="G25" s="103">
        <f t="shared" si="0"/>
        <v>7</v>
      </c>
      <c r="H25" s="83"/>
      <c r="I25" s="12"/>
    </row>
    <row r="26" spans="1:9" ht="21.95" customHeight="1" x14ac:dyDescent="0.25">
      <c r="A26" s="12"/>
      <c r="B26" s="71" t="s">
        <v>236</v>
      </c>
      <c r="C26" s="102" t="s">
        <v>227</v>
      </c>
      <c r="D26" s="105">
        <v>15</v>
      </c>
      <c r="E26" s="102" t="s">
        <v>223</v>
      </c>
      <c r="F26" s="105">
        <v>2</v>
      </c>
      <c r="G26" s="102">
        <f t="shared" si="0"/>
        <v>17</v>
      </c>
      <c r="H26" s="84"/>
      <c r="I26" s="12"/>
    </row>
    <row r="27" spans="1:9" ht="27.95" customHeight="1" thickBot="1" x14ac:dyDescent="0.3">
      <c r="A27" s="12"/>
      <c r="B27" s="75" t="s">
        <v>108</v>
      </c>
      <c r="C27" s="108"/>
      <c r="D27" s="108">
        <f>SUM(D13:D26)</f>
        <v>145</v>
      </c>
      <c r="E27" s="108"/>
      <c r="F27" s="108">
        <f>SUM(F13:F26)</f>
        <v>28</v>
      </c>
      <c r="G27" s="108">
        <f>SUM(G13:G26)</f>
        <v>173</v>
      </c>
      <c r="H27" s="109"/>
      <c r="I27" s="12"/>
    </row>
    <row r="28" spans="1:9" x14ac:dyDescent="0.25">
      <c r="A28" s="12"/>
      <c r="B28" s="12"/>
      <c r="C28" s="12"/>
      <c r="D28" s="12"/>
      <c r="E28" s="12"/>
      <c r="F28" s="12"/>
      <c r="G28" s="12"/>
      <c r="H28" s="12"/>
      <c r="I28" s="12"/>
    </row>
    <row r="29" spans="1:9" ht="27.95" customHeight="1" x14ac:dyDescent="0.3">
      <c r="A29" s="12"/>
      <c r="B29" s="126" t="s">
        <v>237</v>
      </c>
      <c r="C29" s="19"/>
      <c r="D29" s="19"/>
      <c r="E29" s="19"/>
      <c r="F29" s="19"/>
      <c r="G29" s="19"/>
      <c r="H29" s="19"/>
      <c r="I29" s="12"/>
    </row>
    <row r="30" spans="1:9" ht="21.95" customHeight="1" x14ac:dyDescent="0.25">
      <c r="A30" s="12"/>
      <c r="B30" s="21" t="s">
        <v>238</v>
      </c>
      <c r="C30" s="87">
        <v>0.85</v>
      </c>
      <c r="D30" s="22" t="s">
        <v>239</v>
      </c>
      <c r="E30" s="12"/>
      <c r="F30" s="12"/>
      <c r="G30" s="12"/>
      <c r="H30" s="12"/>
      <c r="I30" s="12"/>
    </row>
    <row r="31" spans="1:9" ht="21.95" customHeight="1" x14ac:dyDescent="0.25">
      <c r="A31" s="12"/>
      <c r="B31" s="24" t="s">
        <v>240</v>
      </c>
      <c r="C31" s="88">
        <v>0.9</v>
      </c>
      <c r="D31" s="25" t="s">
        <v>241</v>
      </c>
      <c r="E31" s="12"/>
      <c r="F31" s="12"/>
      <c r="G31" s="12"/>
      <c r="H31" s="12"/>
      <c r="I31" s="12"/>
    </row>
    <row r="32" spans="1:9" ht="21.95" customHeight="1" x14ac:dyDescent="0.25">
      <c r="A32" s="12"/>
      <c r="B32" s="21" t="s">
        <v>242</v>
      </c>
      <c r="C32" s="136">
        <f>ROUND((D27+F27)*C30*C31,1)</f>
        <v>132.30000000000001</v>
      </c>
      <c r="D32" s="22" t="s">
        <v>64</v>
      </c>
      <c r="E32" s="12"/>
      <c r="F32" s="12"/>
      <c r="G32" s="12"/>
      <c r="H32" s="12"/>
      <c r="I32" s="12"/>
    </row>
    <row r="33" spans="1:9" ht="21.95" customHeight="1" x14ac:dyDescent="0.25">
      <c r="A33" s="12"/>
      <c r="B33" s="24" t="s">
        <v>243</v>
      </c>
      <c r="C33" s="88">
        <v>20</v>
      </c>
      <c r="D33" s="25" t="s">
        <v>244</v>
      </c>
      <c r="E33" s="12"/>
      <c r="F33" s="12"/>
      <c r="G33" s="12"/>
      <c r="H33" s="12"/>
      <c r="I33" s="12"/>
    </row>
    <row r="34" spans="1:9" ht="21.95" customHeight="1" x14ac:dyDescent="0.25">
      <c r="A34" s="12"/>
      <c r="B34" s="137" t="s">
        <v>245</v>
      </c>
      <c r="C34" s="94">
        <f>ROUND(C32*C33,1)</f>
        <v>2646</v>
      </c>
      <c r="D34" s="138" t="s">
        <v>64</v>
      </c>
      <c r="E34" s="12"/>
      <c r="F34" s="12"/>
      <c r="G34" s="12"/>
      <c r="H34" s="12"/>
      <c r="I34" s="12"/>
    </row>
    <row r="35" spans="1:9" x14ac:dyDescent="0.25">
      <c r="A35" s="12"/>
      <c r="B35" s="12"/>
      <c r="C35" s="12"/>
      <c r="D35" s="12"/>
      <c r="E35" s="12"/>
      <c r="F35" s="12"/>
      <c r="G35" s="12"/>
      <c r="H35" s="12"/>
      <c r="I35" s="12"/>
    </row>
    <row r="36" spans="1:9" x14ac:dyDescent="0.25">
      <c r="A36" s="12"/>
      <c r="B36" s="12"/>
      <c r="C36" s="12"/>
      <c r="D36" s="12"/>
      <c r="E36" s="12"/>
      <c r="F36" s="12"/>
      <c r="G36" s="12"/>
      <c r="H36" s="12"/>
      <c r="I36" s="12"/>
    </row>
    <row r="37" spans="1:9" x14ac:dyDescent="0.25">
      <c r="A37" s="12"/>
      <c r="B37" s="12"/>
      <c r="C37" s="12"/>
      <c r="D37" s="12"/>
      <c r="E37" s="12"/>
      <c r="F37" s="12"/>
      <c r="G37" s="12"/>
      <c r="H37" s="12"/>
      <c r="I37" s="12"/>
    </row>
    <row r="38" spans="1:9" x14ac:dyDescent="0.25">
      <c r="A38" s="12"/>
      <c r="B38" s="12"/>
      <c r="C38" s="12"/>
      <c r="D38" s="12"/>
      <c r="E38" s="12"/>
      <c r="F38" s="12"/>
      <c r="G38" s="12"/>
      <c r="H38" s="12"/>
      <c r="I38" s="12"/>
    </row>
    <row r="39" spans="1:9" x14ac:dyDescent="0.25">
      <c r="A39" s="12"/>
      <c r="B39" s="12"/>
      <c r="C39" s="12"/>
      <c r="D39" s="12"/>
      <c r="E39" s="12"/>
      <c r="F39" s="12"/>
      <c r="G39" s="12"/>
      <c r="H39" s="12"/>
      <c r="I39" s="12"/>
    </row>
    <row r="40" spans="1:9" x14ac:dyDescent="0.25">
      <c r="A40" s="12"/>
      <c r="B40" s="12"/>
      <c r="C40" s="12"/>
      <c r="D40" s="12"/>
      <c r="E40" s="12"/>
      <c r="F40" s="12"/>
      <c r="G40" s="12"/>
      <c r="H40" s="12"/>
      <c r="I40" s="12"/>
    </row>
    <row r="41" spans="1:9" x14ac:dyDescent="0.2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2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2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25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2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2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25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25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25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25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25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25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25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25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25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25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25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25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25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25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25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25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25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25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25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25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25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25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2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25">
      <c r="A80" s="1"/>
      <c r="B80" s="1"/>
      <c r="C80" s="1"/>
      <c r="D80" s="1"/>
      <c r="E80" s="1"/>
      <c r="F80" s="1"/>
      <c r="G80" s="1"/>
      <c r="H80" s="1"/>
      <c r="I80" s="1"/>
    </row>
  </sheetData>
  <mergeCells count="5">
    <mergeCell ref="B2:H2"/>
    <mergeCell ref="B29:H29"/>
    <mergeCell ref="B11:H11"/>
    <mergeCell ref="B3:H3"/>
    <mergeCell ref="B5:H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0"/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 x14ac:dyDescent="0.25"/>
  <cols>
    <col min="1" max="1" width="2.85546875" customWidth="1"/>
    <col min="2" max="2" width="41.85546875" customWidth="1"/>
    <col min="3" max="3" width="22.85546875" customWidth="1"/>
    <col min="4" max="4" width="34.28515625" customWidth="1"/>
    <col min="5" max="7" width="15.28515625" customWidth="1"/>
    <col min="8" max="8" width="2.85546875" customWidth="1"/>
  </cols>
  <sheetData>
    <row r="1" spans="1:8" x14ac:dyDescent="0.25">
      <c r="A1" s="302"/>
      <c r="B1" s="12"/>
      <c r="C1" s="12"/>
      <c r="D1" s="12"/>
      <c r="E1" s="12"/>
      <c r="F1" s="12"/>
      <c r="G1" s="12"/>
      <c r="H1" s="12"/>
    </row>
    <row r="2" spans="1:8" ht="35.1" customHeight="1" x14ac:dyDescent="0.25">
      <c r="A2" s="12"/>
      <c r="B2" s="140" t="s">
        <v>246</v>
      </c>
      <c r="C2" s="16"/>
      <c r="D2" s="16"/>
      <c r="E2" s="16"/>
      <c r="F2" s="16"/>
      <c r="G2" s="16"/>
      <c r="H2" s="12"/>
    </row>
    <row r="3" spans="1:8" ht="24.95" customHeight="1" thickBot="1" x14ac:dyDescent="0.3">
      <c r="A3" s="12"/>
      <c r="B3" s="61" t="s">
        <v>247</v>
      </c>
      <c r="C3" s="62"/>
      <c r="D3" s="62"/>
      <c r="E3" s="62"/>
      <c r="F3" s="62"/>
      <c r="G3" s="62"/>
      <c r="H3" s="12"/>
    </row>
    <row r="4" spans="1:8" ht="8.1" customHeight="1" thickTop="1" x14ac:dyDescent="0.25">
      <c r="A4" s="12"/>
      <c r="B4" s="18"/>
      <c r="C4" s="18"/>
      <c r="D4" s="18"/>
      <c r="E4" s="18"/>
      <c r="F4" s="18">
        <f>C15</f>
        <v>280</v>
      </c>
      <c r="G4" s="18"/>
      <c r="H4" s="12"/>
    </row>
    <row r="5" spans="1:8" ht="27.95" customHeight="1" x14ac:dyDescent="0.3">
      <c r="A5" s="12"/>
      <c r="B5" s="43" t="s">
        <v>248</v>
      </c>
      <c r="C5" s="19"/>
      <c r="D5" s="19"/>
      <c r="E5" s="19"/>
      <c r="F5" s="19"/>
      <c r="G5" s="19"/>
      <c r="H5" s="12"/>
    </row>
    <row r="6" spans="1:8" ht="21.95" customHeight="1" x14ac:dyDescent="0.25">
      <c r="A6" s="12"/>
      <c r="B6" s="27" t="s">
        <v>249</v>
      </c>
      <c r="C6" s="90">
        <v>80</v>
      </c>
      <c r="D6" s="28" t="s">
        <v>250</v>
      </c>
      <c r="E6" s="12"/>
      <c r="F6" s="12"/>
      <c r="G6" s="12"/>
      <c r="H6" s="12"/>
    </row>
    <row r="7" spans="1:8" ht="21.95" customHeight="1" x14ac:dyDescent="0.25">
      <c r="A7" s="12"/>
      <c r="B7" s="29" t="s">
        <v>251</v>
      </c>
      <c r="C7" s="91">
        <v>3.5</v>
      </c>
      <c r="D7" s="30" t="s">
        <v>252</v>
      </c>
      <c r="E7" s="12"/>
      <c r="F7" s="12"/>
      <c r="G7" s="12"/>
      <c r="H7" s="12"/>
    </row>
    <row r="8" spans="1:8" ht="21.95" customHeight="1" x14ac:dyDescent="0.25">
      <c r="A8" s="12"/>
      <c r="B8" s="31" t="s">
        <v>253</v>
      </c>
      <c r="C8" s="92">
        <v>0.5</v>
      </c>
      <c r="D8" s="32" t="s">
        <v>254</v>
      </c>
      <c r="E8" s="12"/>
      <c r="F8" s="12"/>
      <c r="G8" s="12"/>
      <c r="H8" s="12"/>
    </row>
    <row r="9" spans="1:8" ht="21.95" customHeight="1" x14ac:dyDescent="0.25">
      <c r="A9" s="12"/>
      <c r="B9" s="29" t="s">
        <v>255</v>
      </c>
      <c r="C9" s="91">
        <v>0.3</v>
      </c>
      <c r="D9" s="30" t="s">
        <v>254</v>
      </c>
      <c r="E9" s="12"/>
      <c r="F9" s="12"/>
      <c r="G9" s="12"/>
      <c r="H9" s="12"/>
    </row>
    <row r="10" spans="1:8" ht="21.95" customHeight="1" x14ac:dyDescent="0.25">
      <c r="A10" s="12"/>
      <c r="B10" s="31" t="s">
        <v>256</v>
      </c>
      <c r="C10" s="92">
        <v>0.2</v>
      </c>
      <c r="D10" s="32" t="s">
        <v>257</v>
      </c>
      <c r="E10" s="12"/>
      <c r="F10" s="12"/>
      <c r="G10" s="12"/>
      <c r="H10" s="12"/>
    </row>
    <row r="11" spans="1:8" ht="21.95" customHeight="1" x14ac:dyDescent="0.25">
      <c r="A11" s="12"/>
      <c r="B11" s="29" t="s">
        <v>258</v>
      </c>
      <c r="C11" s="91">
        <v>3</v>
      </c>
      <c r="D11" s="30" t="s">
        <v>259</v>
      </c>
      <c r="E11" s="12"/>
      <c r="F11" s="12"/>
      <c r="G11" s="12"/>
      <c r="H11" s="12"/>
    </row>
    <row r="12" spans="1:8" ht="21.95" customHeight="1" x14ac:dyDescent="0.25">
      <c r="A12" s="12"/>
      <c r="B12" s="141" t="s">
        <v>260</v>
      </c>
      <c r="C12" s="142">
        <v>0.2</v>
      </c>
      <c r="D12" s="143" t="s">
        <v>261</v>
      </c>
      <c r="E12" s="12"/>
      <c r="F12" s="12"/>
      <c r="G12" s="12"/>
      <c r="H12" s="12"/>
    </row>
    <row r="13" spans="1:8" x14ac:dyDescent="0.25">
      <c r="A13" s="12"/>
      <c r="B13" s="12"/>
      <c r="C13" s="12"/>
      <c r="D13" s="12"/>
      <c r="E13" s="12"/>
      <c r="F13" s="12"/>
      <c r="G13" s="12"/>
      <c r="H13" s="12"/>
    </row>
    <row r="14" spans="1:8" ht="27.95" customHeight="1" thickBot="1" x14ac:dyDescent="0.35">
      <c r="A14" s="12"/>
      <c r="B14" s="43" t="s">
        <v>262</v>
      </c>
      <c r="C14" s="19"/>
      <c r="D14" s="19"/>
      <c r="E14" s="19"/>
      <c r="F14" s="19"/>
      <c r="G14" s="19"/>
      <c r="H14" s="12"/>
    </row>
    <row r="15" spans="1:8" ht="21.95" customHeight="1" x14ac:dyDescent="0.25">
      <c r="A15" s="12"/>
      <c r="B15" s="144" t="s">
        <v>263</v>
      </c>
      <c r="C15" s="145">
        <f>ROUND(C6*C7,0)</f>
        <v>280</v>
      </c>
      <c r="D15" s="139"/>
      <c r="E15" s="12"/>
      <c r="F15" s="12"/>
      <c r="G15" s="12"/>
      <c r="H15" s="12"/>
    </row>
    <row r="16" spans="1:8" ht="21.95" customHeight="1" x14ac:dyDescent="0.25">
      <c r="A16" s="12"/>
      <c r="B16" s="96" t="s">
        <v>264</v>
      </c>
      <c r="C16" s="146">
        <f>ROUND(C15*C8,1)</f>
        <v>140</v>
      </c>
      <c r="D16" s="139"/>
      <c r="E16" s="12"/>
      <c r="F16" s="12"/>
      <c r="G16" s="12"/>
      <c r="H16" s="12"/>
    </row>
    <row r="17" spans="1:8" ht="21.95" customHeight="1" x14ac:dyDescent="0.25">
      <c r="A17" s="12"/>
      <c r="B17" s="95" t="s">
        <v>265</v>
      </c>
      <c r="C17" s="147">
        <f>ROUND(C15*C9,1)</f>
        <v>84</v>
      </c>
      <c r="D17" s="139"/>
      <c r="E17" s="12"/>
      <c r="F17" s="12"/>
      <c r="G17" s="12"/>
      <c r="H17" s="12"/>
    </row>
    <row r="18" spans="1:8" ht="21.95" customHeight="1" x14ac:dyDescent="0.25">
      <c r="A18" s="12"/>
      <c r="B18" s="96" t="s">
        <v>266</v>
      </c>
      <c r="C18" s="146">
        <f>ROUND(C15*C10*C11,1)</f>
        <v>168</v>
      </c>
      <c r="D18" s="139"/>
      <c r="E18" s="12"/>
      <c r="F18" s="12"/>
      <c r="G18" s="12"/>
      <c r="H18" s="12"/>
    </row>
    <row r="19" spans="1:8" ht="21.95" customHeight="1" x14ac:dyDescent="0.25">
      <c r="A19" s="12"/>
      <c r="B19" s="95" t="s">
        <v>267</v>
      </c>
      <c r="C19" s="147">
        <f>ROUND(C16+C17+C18,1)</f>
        <v>392</v>
      </c>
      <c r="D19" s="139"/>
      <c r="E19" s="12"/>
      <c r="F19" s="12"/>
      <c r="G19" s="12"/>
      <c r="H19" s="12"/>
    </row>
    <row r="20" spans="1:8" ht="21.95" customHeight="1" x14ac:dyDescent="0.25">
      <c r="A20" s="12"/>
      <c r="B20" s="96" t="s">
        <v>268</v>
      </c>
      <c r="C20" s="146">
        <f>ROUND(C19*C12,1)</f>
        <v>78.400000000000006</v>
      </c>
      <c r="D20" s="139"/>
      <c r="E20" s="12"/>
      <c r="F20" s="12"/>
      <c r="G20" s="12"/>
      <c r="H20" s="12"/>
    </row>
    <row r="21" spans="1:8" ht="27.95" customHeight="1" thickBot="1" x14ac:dyDescent="0.3">
      <c r="A21" s="12"/>
      <c r="B21" s="148" t="s">
        <v>269</v>
      </c>
      <c r="C21" s="149">
        <f>ROUND(C19+C20,1)</f>
        <v>470.4</v>
      </c>
      <c r="D21" s="80"/>
      <c r="E21" s="12"/>
      <c r="F21" s="12"/>
      <c r="G21" s="12"/>
      <c r="H21" s="12"/>
    </row>
    <row r="22" spans="1:8" x14ac:dyDescent="0.25">
      <c r="A22" s="12"/>
      <c r="B22" s="12"/>
      <c r="C22" s="12"/>
      <c r="D22" s="12"/>
      <c r="E22" s="12"/>
      <c r="F22" s="12"/>
      <c r="G22" s="12"/>
      <c r="H22" s="12"/>
    </row>
    <row r="23" spans="1:8" x14ac:dyDescent="0.25">
      <c r="A23" s="12"/>
      <c r="B23" s="12"/>
      <c r="C23" s="12"/>
      <c r="D23" s="12"/>
      <c r="E23" s="12"/>
      <c r="F23" s="12"/>
      <c r="G23" s="12"/>
      <c r="H23" s="12"/>
    </row>
    <row r="24" spans="1:8" x14ac:dyDescent="0.25">
      <c r="A24" s="12"/>
      <c r="B24" s="12"/>
      <c r="C24" s="12"/>
      <c r="D24" s="12"/>
      <c r="E24" s="12"/>
      <c r="F24" s="12"/>
      <c r="G24" s="12"/>
      <c r="H24" s="12"/>
    </row>
    <row r="25" spans="1:8" x14ac:dyDescent="0.25">
      <c r="A25" s="12"/>
      <c r="B25" s="12"/>
      <c r="C25" s="12"/>
      <c r="D25" s="12"/>
      <c r="E25" s="12"/>
      <c r="F25" s="12"/>
      <c r="G25" s="12"/>
      <c r="H25" s="12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1"/>
      <c r="B31" s="1"/>
      <c r="C31" s="1"/>
      <c r="D31" s="1"/>
      <c r="E31" s="1"/>
      <c r="F31" s="1"/>
      <c r="G31" s="1"/>
      <c r="H31" s="1"/>
    </row>
    <row r="32" spans="1:8" x14ac:dyDescent="0.25">
      <c r="A32" s="1"/>
      <c r="B32" s="1"/>
      <c r="C32" s="1"/>
      <c r="D32" s="1"/>
      <c r="E32" s="1"/>
      <c r="F32" s="1"/>
      <c r="G32" s="1"/>
      <c r="H32" s="1"/>
    </row>
    <row r="33" spans="1:8" x14ac:dyDescent="0.25">
      <c r="A33" s="1"/>
      <c r="B33" s="1"/>
      <c r="C33" s="1"/>
      <c r="D33" s="1"/>
      <c r="E33" s="1"/>
      <c r="F33" s="1"/>
      <c r="G33" s="1"/>
      <c r="H33" s="1"/>
    </row>
    <row r="34" spans="1:8" x14ac:dyDescent="0.25">
      <c r="A34" s="1"/>
      <c r="B34" s="1"/>
      <c r="C34" s="1"/>
      <c r="D34" s="1"/>
      <c r="E34" s="1"/>
      <c r="F34" s="1"/>
      <c r="G34" s="1"/>
      <c r="H34" s="1"/>
    </row>
    <row r="35" spans="1:8" x14ac:dyDescent="0.25">
      <c r="A35" s="1"/>
      <c r="B35" s="1"/>
      <c r="C35" s="1"/>
      <c r="D35" s="1"/>
      <c r="E35" s="1"/>
      <c r="F35" s="1"/>
      <c r="G35" s="1"/>
      <c r="H35" s="1"/>
    </row>
    <row r="36" spans="1:8" x14ac:dyDescent="0.25">
      <c r="A36" s="1"/>
      <c r="B36" s="1"/>
      <c r="C36" s="1"/>
      <c r="D36" s="1"/>
      <c r="E36" s="1"/>
      <c r="F36" s="1"/>
      <c r="G36" s="1"/>
      <c r="H36" s="1"/>
    </row>
    <row r="37" spans="1:8" x14ac:dyDescent="0.25">
      <c r="A37" s="1"/>
      <c r="B37" s="1"/>
      <c r="C37" s="1"/>
      <c r="D37" s="1"/>
      <c r="E37" s="1"/>
      <c r="F37" s="1"/>
      <c r="G37" s="1"/>
      <c r="H37" s="1"/>
    </row>
    <row r="38" spans="1:8" x14ac:dyDescent="0.25">
      <c r="A38" s="1"/>
      <c r="B38" s="1"/>
      <c r="C38" s="1"/>
      <c r="D38" s="1"/>
      <c r="E38" s="1"/>
      <c r="F38" s="1"/>
      <c r="G38" s="1"/>
      <c r="H38" s="1"/>
    </row>
    <row r="39" spans="1:8" x14ac:dyDescent="0.25">
      <c r="A39" s="1"/>
      <c r="B39" s="1"/>
      <c r="C39" s="1"/>
      <c r="D39" s="1"/>
      <c r="E39" s="1"/>
      <c r="F39" s="1"/>
      <c r="G39" s="1"/>
      <c r="H39" s="1"/>
    </row>
    <row r="40" spans="1:8" x14ac:dyDescent="0.25">
      <c r="A40" s="1"/>
      <c r="B40" s="1"/>
      <c r="C40" s="1"/>
      <c r="D40" s="1"/>
      <c r="E40" s="1"/>
      <c r="F40" s="1"/>
      <c r="G40" s="1"/>
      <c r="H40" s="1"/>
    </row>
    <row r="41" spans="1:8" x14ac:dyDescent="0.25">
      <c r="A41" s="1"/>
      <c r="B41" s="1"/>
      <c r="C41" s="1"/>
      <c r="D41" s="1"/>
      <c r="E41" s="1"/>
      <c r="F41" s="1"/>
      <c r="G41" s="1"/>
      <c r="H41" s="1"/>
    </row>
    <row r="42" spans="1:8" x14ac:dyDescent="0.25">
      <c r="A42" s="1"/>
      <c r="B42" s="1"/>
      <c r="C42" s="1"/>
      <c r="D42" s="1"/>
      <c r="E42" s="1"/>
      <c r="F42" s="1"/>
      <c r="G42" s="1"/>
      <c r="H42" s="1"/>
    </row>
    <row r="43" spans="1:8" x14ac:dyDescent="0.25">
      <c r="A43" s="1"/>
      <c r="B43" s="1"/>
      <c r="C43" s="1"/>
      <c r="D43" s="1"/>
      <c r="E43" s="1"/>
      <c r="F43" s="1"/>
      <c r="G43" s="1"/>
      <c r="H43" s="1"/>
    </row>
    <row r="44" spans="1:8" x14ac:dyDescent="0.25">
      <c r="A44" s="1"/>
      <c r="B44" s="1"/>
      <c r="C44" s="1"/>
      <c r="D44" s="1"/>
      <c r="E44" s="1"/>
      <c r="F44" s="1"/>
      <c r="G44" s="1"/>
      <c r="H44" s="1"/>
    </row>
    <row r="45" spans="1:8" x14ac:dyDescent="0.25">
      <c r="A45" s="1"/>
      <c r="B45" s="1"/>
      <c r="C45" s="1"/>
      <c r="D45" s="1"/>
      <c r="E45" s="1"/>
      <c r="F45" s="1"/>
      <c r="G45" s="1"/>
      <c r="H45" s="1"/>
    </row>
    <row r="46" spans="1:8" x14ac:dyDescent="0.25">
      <c r="A46" s="1"/>
      <c r="B46" s="1"/>
      <c r="C46" s="1"/>
      <c r="D46" s="1"/>
      <c r="E46" s="1"/>
      <c r="F46" s="1"/>
      <c r="G46" s="1"/>
      <c r="H46" s="1"/>
    </row>
    <row r="47" spans="1:8" x14ac:dyDescent="0.25">
      <c r="A47" s="1"/>
      <c r="B47" s="1"/>
      <c r="C47" s="1"/>
      <c r="D47" s="1"/>
      <c r="E47" s="1"/>
      <c r="F47" s="1"/>
      <c r="G47" s="1"/>
      <c r="H47" s="1"/>
    </row>
    <row r="48" spans="1:8" x14ac:dyDescent="0.25">
      <c r="A48" s="1"/>
      <c r="B48" s="1"/>
      <c r="C48" s="1"/>
      <c r="D48" s="1"/>
      <c r="E48" s="1"/>
      <c r="F48" s="1"/>
      <c r="G48" s="1"/>
      <c r="H48" s="1"/>
    </row>
    <row r="49" spans="1:8" x14ac:dyDescent="0.25">
      <c r="A49" s="1"/>
      <c r="B49" s="1"/>
      <c r="C49" s="1"/>
      <c r="D49" s="1"/>
      <c r="E49" s="1"/>
      <c r="F49" s="1"/>
      <c r="G49" s="1"/>
      <c r="H49" s="1"/>
    </row>
    <row r="50" spans="1:8" x14ac:dyDescent="0.25">
      <c r="A50" s="1"/>
      <c r="B50" s="1"/>
      <c r="C50" s="1"/>
      <c r="D50" s="1"/>
      <c r="E50" s="1"/>
      <c r="F50" s="1"/>
      <c r="G50" s="1"/>
      <c r="H50" s="1"/>
    </row>
    <row r="51" spans="1:8" x14ac:dyDescent="0.25">
      <c r="A51" s="1"/>
      <c r="B51" s="1"/>
      <c r="C51" s="1"/>
      <c r="D51" s="1"/>
      <c r="E51" s="1"/>
      <c r="F51" s="1"/>
      <c r="G51" s="1"/>
      <c r="H51" s="1"/>
    </row>
    <row r="52" spans="1:8" x14ac:dyDescent="0.25">
      <c r="A52" s="1"/>
      <c r="B52" s="1"/>
      <c r="C52" s="1"/>
      <c r="D52" s="1"/>
      <c r="E52" s="1"/>
      <c r="F52" s="1"/>
      <c r="G52" s="1"/>
      <c r="H52" s="1"/>
    </row>
    <row r="53" spans="1:8" x14ac:dyDescent="0.25">
      <c r="A53" s="1"/>
      <c r="B53" s="1"/>
      <c r="C53" s="1"/>
      <c r="D53" s="1"/>
      <c r="E53" s="1"/>
      <c r="F53" s="1"/>
      <c r="G53" s="1"/>
      <c r="H53" s="1"/>
    </row>
    <row r="54" spans="1:8" x14ac:dyDescent="0.25">
      <c r="A54" s="1"/>
      <c r="B54" s="1"/>
      <c r="C54" s="1"/>
      <c r="D54" s="1"/>
      <c r="E54" s="1"/>
      <c r="F54" s="1"/>
      <c r="G54" s="1"/>
      <c r="H54" s="1"/>
    </row>
    <row r="55" spans="1:8" x14ac:dyDescent="0.25">
      <c r="A55" s="1"/>
      <c r="B55" s="1"/>
      <c r="C55" s="1"/>
      <c r="D55" s="1"/>
      <c r="E55" s="1"/>
      <c r="F55" s="1"/>
      <c r="G55" s="1"/>
      <c r="H55" s="1"/>
    </row>
    <row r="56" spans="1:8" x14ac:dyDescent="0.25">
      <c r="A56" s="1"/>
      <c r="B56" s="1"/>
      <c r="C56" s="1"/>
      <c r="D56" s="1"/>
      <c r="E56" s="1"/>
      <c r="F56" s="1"/>
      <c r="G56" s="1"/>
      <c r="H56" s="1"/>
    </row>
    <row r="57" spans="1:8" x14ac:dyDescent="0.25">
      <c r="A57" s="1"/>
      <c r="B57" s="1"/>
      <c r="C57" s="1"/>
      <c r="D57" s="1"/>
      <c r="E57" s="1"/>
      <c r="F57" s="1"/>
      <c r="G57" s="1"/>
      <c r="H57" s="1"/>
    </row>
    <row r="58" spans="1:8" x14ac:dyDescent="0.25">
      <c r="A58" s="1"/>
      <c r="B58" s="1"/>
      <c r="C58" s="1"/>
      <c r="D58" s="1"/>
      <c r="E58" s="1"/>
      <c r="F58" s="1"/>
      <c r="G58" s="1"/>
      <c r="H58" s="1"/>
    </row>
    <row r="59" spans="1:8" x14ac:dyDescent="0.25">
      <c r="A59" s="1"/>
      <c r="B59" s="1"/>
      <c r="C59" s="1"/>
      <c r="D59" s="1"/>
      <c r="E59" s="1"/>
      <c r="F59" s="1"/>
      <c r="G59" s="1"/>
      <c r="H59" s="1"/>
    </row>
    <row r="60" spans="1:8" x14ac:dyDescent="0.25">
      <c r="A60" s="1"/>
      <c r="B60" s="1"/>
      <c r="C60" s="1"/>
      <c r="D60" s="1"/>
      <c r="E60" s="1"/>
      <c r="F60" s="1"/>
      <c r="G60" s="1"/>
      <c r="H60" s="1"/>
    </row>
    <row r="61" spans="1:8" x14ac:dyDescent="0.25">
      <c r="A61" s="1"/>
      <c r="B61" s="1"/>
      <c r="C61" s="1"/>
      <c r="D61" s="1"/>
      <c r="E61" s="1"/>
      <c r="F61" s="1"/>
      <c r="G61" s="1"/>
      <c r="H61" s="1"/>
    </row>
    <row r="62" spans="1:8" x14ac:dyDescent="0.25">
      <c r="A62" s="1"/>
      <c r="B62" s="1"/>
      <c r="C62" s="1"/>
      <c r="D62" s="1"/>
      <c r="E62" s="1"/>
      <c r="F62" s="1"/>
      <c r="G62" s="1"/>
      <c r="H62" s="1"/>
    </row>
    <row r="63" spans="1:8" x14ac:dyDescent="0.25">
      <c r="A63" s="1"/>
      <c r="B63" s="1"/>
      <c r="C63" s="1"/>
      <c r="D63" s="1"/>
      <c r="E63" s="1"/>
      <c r="F63" s="1"/>
      <c r="G63" s="1"/>
      <c r="H63" s="1"/>
    </row>
    <row r="64" spans="1:8" x14ac:dyDescent="0.25">
      <c r="A64" s="1"/>
      <c r="B64" s="1"/>
      <c r="C64" s="1"/>
      <c r="D64" s="1"/>
      <c r="E64" s="1"/>
      <c r="F64" s="1"/>
      <c r="G64" s="1"/>
      <c r="H64" s="1"/>
    </row>
    <row r="65" spans="1:8" x14ac:dyDescent="0.25">
      <c r="A65" s="1"/>
      <c r="B65" s="1"/>
      <c r="C65" s="1"/>
      <c r="D65" s="1"/>
      <c r="E65" s="1"/>
      <c r="F65" s="1"/>
      <c r="G65" s="1"/>
      <c r="H65" s="1"/>
    </row>
    <row r="66" spans="1:8" x14ac:dyDescent="0.25">
      <c r="A66" s="1"/>
      <c r="B66" s="1"/>
      <c r="C66" s="1"/>
      <c r="D66" s="1"/>
      <c r="E66" s="1"/>
      <c r="F66" s="1"/>
      <c r="G66" s="1"/>
      <c r="H66" s="1"/>
    </row>
    <row r="67" spans="1:8" x14ac:dyDescent="0.25">
      <c r="A67" s="1"/>
      <c r="B67" s="1"/>
      <c r="C67" s="1"/>
      <c r="D67" s="1"/>
      <c r="E67" s="1"/>
      <c r="F67" s="1"/>
      <c r="G67" s="1"/>
      <c r="H67" s="1"/>
    </row>
    <row r="68" spans="1:8" x14ac:dyDescent="0.25">
      <c r="A68" s="1"/>
      <c r="B68" s="1"/>
      <c r="C68" s="1"/>
      <c r="D68" s="1"/>
      <c r="E68" s="1"/>
      <c r="F68" s="1"/>
      <c r="G68" s="1"/>
      <c r="H68" s="1"/>
    </row>
    <row r="69" spans="1:8" x14ac:dyDescent="0.25">
      <c r="A69" s="1"/>
      <c r="B69" s="1"/>
      <c r="C69" s="1"/>
      <c r="D69" s="1"/>
      <c r="E69" s="1"/>
      <c r="F69" s="1"/>
      <c r="G69" s="1"/>
      <c r="H69" s="1"/>
    </row>
    <row r="70" spans="1:8" x14ac:dyDescent="0.25">
      <c r="A70" s="1"/>
      <c r="B70" s="1"/>
      <c r="C70" s="1"/>
      <c r="D70" s="1"/>
      <c r="E70" s="1"/>
      <c r="F70" s="1"/>
      <c r="G70" s="1"/>
      <c r="H70" s="1"/>
    </row>
    <row r="71" spans="1:8" x14ac:dyDescent="0.25">
      <c r="A71" s="1"/>
      <c r="B71" s="1"/>
      <c r="C71" s="1"/>
      <c r="D71" s="1"/>
      <c r="E71" s="1"/>
      <c r="F71" s="1"/>
      <c r="G71" s="1"/>
      <c r="H71" s="1"/>
    </row>
    <row r="72" spans="1:8" x14ac:dyDescent="0.25">
      <c r="A72" s="1"/>
      <c r="B72" s="1"/>
      <c r="C72" s="1"/>
      <c r="D72" s="1"/>
      <c r="E72" s="1"/>
      <c r="F72" s="1"/>
      <c r="G72" s="1"/>
      <c r="H72" s="1"/>
    </row>
    <row r="73" spans="1:8" x14ac:dyDescent="0.25">
      <c r="A73" s="1"/>
      <c r="B73" s="1"/>
      <c r="C73" s="1"/>
      <c r="D73" s="1"/>
      <c r="E73" s="1"/>
      <c r="F73" s="1"/>
      <c r="G73" s="1"/>
      <c r="H73" s="1"/>
    </row>
    <row r="74" spans="1:8" x14ac:dyDescent="0.25">
      <c r="A74" s="1"/>
      <c r="B74" s="1"/>
      <c r="C74" s="1"/>
      <c r="D74" s="1"/>
      <c r="E74" s="1"/>
      <c r="F74" s="1"/>
      <c r="G74" s="1"/>
      <c r="H74" s="1"/>
    </row>
    <row r="75" spans="1:8" x14ac:dyDescent="0.25">
      <c r="A75" s="1"/>
      <c r="B75" s="1"/>
      <c r="C75" s="1"/>
      <c r="D75" s="1"/>
      <c r="E75" s="1"/>
      <c r="F75" s="1"/>
      <c r="G75" s="1"/>
      <c r="H75" s="1"/>
    </row>
    <row r="76" spans="1:8" x14ac:dyDescent="0.25">
      <c r="A76" s="1"/>
      <c r="B76" s="1"/>
      <c r="C76" s="1"/>
      <c r="D76" s="1"/>
      <c r="E76" s="1"/>
      <c r="F76" s="1"/>
      <c r="G76" s="1"/>
      <c r="H76" s="1"/>
    </row>
    <row r="77" spans="1:8" x14ac:dyDescent="0.25">
      <c r="A77" s="1"/>
      <c r="B77" s="1"/>
      <c r="C77" s="1"/>
      <c r="D77" s="1"/>
      <c r="E77" s="1"/>
      <c r="F77" s="1"/>
      <c r="G77" s="1"/>
      <c r="H77" s="1"/>
    </row>
    <row r="78" spans="1:8" x14ac:dyDescent="0.25">
      <c r="A78" s="1"/>
      <c r="B78" s="1"/>
      <c r="C78" s="1"/>
      <c r="D78" s="1"/>
      <c r="E78" s="1"/>
      <c r="F78" s="1"/>
      <c r="G78" s="1"/>
      <c r="H78" s="1"/>
    </row>
    <row r="79" spans="1:8" x14ac:dyDescent="0.25">
      <c r="A79" s="1"/>
      <c r="B79" s="1"/>
      <c r="C79" s="1"/>
      <c r="D79" s="1"/>
      <c r="E79" s="1"/>
      <c r="F79" s="1"/>
      <c r="G79" s="1"/>
      <c r="H79" s="1"/>
    </row>
    <row r="80" spans="1:8" x14ac:dyDescent="0.25">
      <c r="A80" s="1"/>
      <c r="B80" s="1"/>
      <c r="C80" s="1"/>
      <c r="D80" s="1"/>
      <c r="E80" s="1"/>
      <c r="F80" s="1"/>
      <c r="G80" s="1"/>
      <c r="H80" s="1"/>
    </row>
  </sheetData>
  <mergeCells count="4">
    <mergeCell ref="B3:G3"/>
    <mergeCell ref="B2:G2"/>
    <mergeCell ref="B14:G14"/>
    <mergeCell ref="B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80"/>
  <sheetViews>
    <sheetView showGridLines="0" workbookViewId="0">
      <pane ySplit="6" topLeftCell="A7" activePane="bottomLeft" state="frozen"/>
      <selection pane="bottomLeft" activeCell="B2" sqref="B2:M2"/>
    </sheetView>
  </sheetViews>
  <sheetFormatPr defaultRowHeight="15" x14ac:dyDescent="0.25"/>
  <cols>
    <col min="1" max="1" width="2.85546875" customWidth="1"/>
    <col min="2" max="2" width="30.42578125" customWidth="1"/>
    <col min="3" max="3" width="24.7109375" customWidth="1"/>
    <col min="4" max="7" width="17.140625" customWidth="1"/>
    <col min="8" max="9" width="19" customWidth="1"/>
    <col min="10" max="10" width="21" customWidth="1"/>
    <col min="11" max="11" width="2.85546875" customWidth="1"/>
    <col min="12" max="12" width="14" customWidth="1"/>
    <col min="13" max="13" width="1.85546875" bestFit="1" customWidth="1"/>
    <col min="14" max="14" width="2" customWidth="1"/>
  </cols>
  <sheetData>
    <row r="1" spans="1:14" x14ac:dyDescent="0.25">
      <c r="A1" s="302"/>
      <c r="B1" s="12"/>
      <c r="C1" s="12"/>
      <c r="D1" s="12"/>
      <c r="E1" s="12"/>
      <c r="F1" s="12"/>
      <c r="G1" s="12"/>
      <c r="H1" s="12"/>
      <c r="I1" s="12"/>
      <c r="J1" s="12"/>
      <c r="K1" s="12"/>
      <c r="L1" s="1"/>
      <c r="M1" s="1"/>
      <c r="N1" s="1"/>
    </row>
    <row r="2" spans="1:14" ht="35.1" customHeight="1" x14ac:dyDescent="0.25">
      <c r="A2" s="12"/>
      <c r="B2" s="140" t="s">
        <v>270</v>
      </c>
      <c r="C2" s="16"/>
      <c r="D2" s="16"/>
      <c r="E2" s="16"/>
      <c r="F2" s="16"/>
      <c r="G2" s="16"/>
      <c r="H2" s="16"/>
      <c r="I2" s="16"/>
      <c r="J2" s="16"/>
      <c r="K2" s="16"/>
      <c r="L2" s="154"/>
      <c r="M2" s="154"/>
      <c r="N2" s="1"/>
    </row>
    <row r="3" spans="1:14" ht="24.95" customHeight="1" thickBot="1" x14ac:dyDescent="0.3">
      <c r="A3" s="12"/>
      <c r="B3" s="61" t="s">
        <v>271</v>
      </c>
      <c r="C3" s="62"/>
      <c r="D3" s="62"/>
      <c r="E3" s="62"/>
      <c r="F3" s="62"/>
      <c r="G3" s="62"/>
      <c r="H3" s="62"/>
      <c r="I3" s="62"/>
      <c r="J3" s="62"/>
      <c r="K3" s="62"/>
      <c r="L3" s="155"/>
      <c r="M3" s="155"/>
      <c r="N3" s="1"/>
    </row>
    <row r="4" spans="1:14" ht="8.1" customHeight="1" thickTop="1" x14ac:dyDescent="0.25">
      <c r="A4" s="12"/>
      <c r="B4" s="18"/>
      <c r="C4" s="18"/>
      <c r="D4" s="18"/>
      <c r="E4" s="18"/>
      <c r="F4" s="18"/>
      <c r="G4" s="18"/>
      <c r="H4" s="18"/>
      <c r="I4" s="18"/>
      <c r="J4" s="18"/>
      <c r="K4" s="18"/>
      <c r="L4" s="156"/>
      <c r="M4" s="156"/>
      <c r="N4" s="1"/>
    </row>
    <row r="5" spans="1:14" ht="27.95" customHeight="1" thickBot="1" x14ac:dyDescent="0.35">
      <c r="A5" s="12"/>
      <c r="B5" s="43" t="s">
        <v>272</v>
      </c>
      <c r="C5" s="19"/>
      <c r="D5" s="19"/>
      <c r="E5" s="19"/>
      <c r="F5" s="19"/>
      <c r="G5" s="19"/>
      <c r="H5" s="19"/>
      <c r="I5" s="19"/>
      <c r="J5" s="19"/>
      <c r="K5" s="19"/>
      <c r="L5" s="157"/>
      <c r="M5" s="157"/>
      <c r="N5" s="1"/>
    </row>
    <row r="6" spans="1:14" ht="27.95" customHeight="1" x14ac:dyDescent="0.25">
      <c r="A6" s="12"/>
      <c r="B6" s="64" t="s">
        <v>273</v>
      </c>
      <c r="C6" s="65" t="s">
        <v>67</v>
      </c>
      <c r="D6" s="65" t="s">
        <v>274</v>
      </c>
      <c r="E6" s="65" t="s">
        <v>275</v>
      </c>
      <c r="F6" s="65" t="s">
        <v>276</v>
      </c>
      <c r="G6" s="65" t="s">
        <v>277</v>
      </c>
      <c r="H6" s="65" t="s">
        <v>278</v>
      </c>
      <c r="I6" s="65" t="s">
        <v>279</v>
      </c>
      <c r="J6" s="66" t="s">
        <v>280</v>
      </c>
      <c r="K6" s="12"/>
      <c r="L6" s="1"/>
      <c r="M6" s="1"/>
      <c r="N6" s="1"/>
    </row>
    <row r="7" spans="1:14" ht="21.95" customHeight="1" x14ac:dyDescent="0.25">
      <c r="A7" s="12"/>
      <c r="B7" s="97" t="str">
        <f>'⚙️ Config'!B19</f>
        <v>Jane Smith</v>
      </c>
      <c r="C7" s="103" t="str">
        <f>'⚙️ Config'!C19</f>
        <v>QA Lead</v>
      </c>
      <c r="D7" s="158">
        <f>'⚙️ Config'!C11*'⚙️ Config'!C13*5*'⚙️ Config'!F19</f>
        <v>64</v>
      </c>
      <c r="E7" s="158">
        <f>ROUND('⚙️ Config'!C14/'⚙️ Config'!C13,0)</f>
        <v>9</v>
      </c>
      <c r="F7" s="158">
        <f>D7*E7</f>
        <v>576</v>
      </c>
      <c r="G7" s="159">
        <f>'⚙️ Config'!E19</f>
        <v>95</v>
      </c>
      <c r="H7" s="159">
        <f>F7*G7</f>
        <v>54720</v>
      </c>
      <c r="I7" s="159">
        <f>H7*0.3</f>
        <v>16416</v>
      </c>
      <c r="J7" s="160">
        <f>H7+I7</f>
        <v>71136</v>
      </c>
      <c r="K7" s="12"/>
      <c r="L7" s="1"/>
      <c r="M7" s="1"/>
      <c r="N7" s="1"/>
    </row>
    <row r="8" spans="1:14" ht="21.95" customHeight="1" x14ac:dyDescent="0.25">
      <c r="A8" s="12"/>
      <c r="B8" s="104" t="str">
        <f>'⚙️ Config'!B20</f>
        <v>Tom Reyes</v>
      </c>
      <c r="C8" s="102" t="str">
        <f>'⚙️ Config'!C20</f>
        <v>Automation Eng</v>
      </c>
      <c r="D8" s="161">
        <f>'⚙️ Config'!C11*'⚙️ Config'!C13*5*'⚙️ Config'!F20</f>
        <v>80</v>
      </c>
      <c r="E8" s="161">
        <f>ROUND('⚙️ Config'!C14/'⚙️ Config'!C13,0)</f>
        <v>9</v>
      </c>
      <c r="F8" s="161">
        <f>D8*E8</f>
        <v>720</v>
      </c>
      <c r="G8" s="162">
        <f>'⚙️ Config'!E20</f>
        <v>90</v>
      </c>
      <c r="H8" s="162">
        <f>F8*G8</f>
        <v>64800</v>
      </c>
      <c r="I8" s="162">
        <f>H8*0.3</f>
        <v>19440</v>
      </c>
      <c r="J8" s="163">
        <f>H8+I8</f>
        <v>84240</v>
      </c>
      <c r="K8" s="12"/>
      <c r="L8" s="1"/>
      <c r="M8" s="1"/>
      <c r="N8" s="1"/>
    </row>
    <row r="9" spans="1:14" ht="21.95" customHeight="1" x14ac:dyDescent="0.25">
      <c r="A9" s="12"/>
      <c r="B9" s="97" t="str">
        <f>'⚙️ Config'!B21</f>
        <v>Aisha Patel</v>
      </c>
      <c r="C9" s="103" t="str">
        <f>'⚙️ Config'!C21</f>
        <v>Test Analyst</v>
      </c>
      <c r="D9" s="158">
        <f>'⚙️ Config'!C11*'⚙️ Config'!C13*5*'⚙️ Config'!F21</f>
        <v>80</v>
      </c>
      <c r="E9" s="158">
        <f>ROUND('⚙️ Config'!C14/'⚙️ Config'!C13,0)</f>
        <v>9</v>
      </c>
      <c r="F9" s="158">
        <f>D9*E9</f>
        <v>720</v>
      </c>
      <c r="G9" s="159">
        <f>'⚙️ Config'!E21</f>
        <v>70</v>
      </c>
      <c r="H9" s="159">
        <f>F9*G9</f>
        <v>50400</v>
      </c>
      <c r="I9" s="159">
        <f>H9*0.3</f>
        <v>15120</v>
      </c>
      <c r="J9" s="160">
        <f>H9+I9</f>
        <v>65520</v>
      </c>
      <c r="K9" s="12"/>
      <c r="L9" s="1"/>
      <c r="M9" s="1"/>
      <c r="N9" s="1"/>
    </row>
    <row r="10" spans="1:14" ht="21.95" customHeight="1" x14ac:dyDescent="0.25">
      <c r="A10" s="12"/>
      <c r="B10" s="104" t="str">
        <f>'⚙️ Config'!B22</f>
        <v>Carlos Vega</v>
      </c>
      <c r="C10" s="102" t="str">
        <f>'⚙️ Config'!C22</f>
        <v>Performance Tester</v>
      </c>
      <c r="D10" s="161">
        <f>'⚙️ Config'!C11*'⚙️ Config'!C13*5*'⚙️ Config'!F22</f>
        <v>48</v>
      </c>
      <c r="E10" s="161">
        <f>ROUND('⚙️ Config'!C14/'⚙️ Config'!C13,0)</f>
        <v>9</v>
      </c>
      <c r="F10" s="161">
        <f>D10*E10</f>
        <v>432</v>
      </c>
      <c r="G10" s="162">
        <f>'⚙️ Config'!E22</f>
        <v>75</v>
      </c>
      <c r="H10" s="162">
        <f>F10*G10</f>
        <v>32400</v>
      </c>
      <c r="I10" s="162">
        <f>H10*0.3</f>
        <v>9720</v>
      </c>
      <c r="J10" s="163">
        <f>H10+I10</f>
        <v>42120</v>
      </c>
      <c r="K10" s="12"/>
      <c r="L10" s="1"/>
      <c r="M10" s="1"/>
      <c r="N10" s="1"/>
    </row>
    <row r="11" spans="1:14" ht="21.95" customHeight="1" x14ac:dyDescent="0.25">
      <c r="A11" s="12"/>
      <c r="B11" s="97" t="str">
        <f>'⚙️ Config'!B23</f>
        <v>Lucy Chen</v>
      </c>
      <c r="C11" s="103" t="str">
        <f>'⚙️ Config'!C23</f>
        <v>Junior Tester</v>
      </c>
      <c r="D11" s="158">
        <f>'⚙️ Config'!C11*'⚙️ Config'!C13*5*'⚙️ Config'!F23</f>
        <v>80</v>
      </c>
      <c r="E11" s="158">
        <f>ROUND('⚙️ Config'!C14/'⚙️ Config'!C13,0)</f>
        <v>9</v>
      </c>
      <c r="F11" s="158">
        <f>D11*E11</f>
        <v>720</v>
      </c>
      <c r="G11" s="159">
        <f>'⚙️ Config'!E23</f>
        <v>50</v>
      </c>
      <c r="H11" s="159">
        <f>F11*G11</f>
        <v>36000</v>
      </c>
      <c r="I11" s="159">
        <f>H11*0.3</f>
        <v>10800</v>
      </c>
      <c r="J11" s="160">
        <f>H11+I11</f>
        <v>46800</v>
      </c>
      <c r="K11" s="12"/>
      <c r="L11" s="1"/>
      <c r="M11" s="1"/>
      <c r="N11" s="1"/>
    </row>
    <row r="12" spans="1:14" ht="27.95" customHeight="1" thickBot="1" x14ac:dyDescent="0.3">
      <c r="A12" s="12"/>
      <c r="B12" s="75" t="s">
        <v>281</v>
      </c>
      <c r="C12" s="314" t="s">
        <v>370</v>
      </c>
      <c r="D12" s="165">
        <f>SUM(D7:D11)</f>
        <v>352</v>
      </c>
      <c r="E12" s="315" t="s">
        <v>371</v>
      </c>
      <c r="F12" s="165">
        <f>SUM(F7:F11)</f>
        <v>3168</v>
      </c>
      <c r="G12" s="164">
        <f>AVERAGE(G7:G11)</f>
        <v>76</v>
      </c>
      <c r="H12" s="164">
        <f>SUM(H7:H11)</f>
        <v>238320</v>
      </c>
      <c r="I12" s="164">
        <f>SUM(I7:I11)</f>
        <v>71496</v>
      </c>
      <c r="J12" s="166">
        <f>SUM(J7:J11)</f>
        <v>309816</v>
      </c>
      <c r="K12" s="12"/>
      <c r="L12" s="1"/>
      <c r="M12" s="1"/>
      <c r="N12" s="1"/>
    </row>
    <row r="13" spans="1:14" x14ac:dyDescent="0.25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"/>
      <c r="M13" s="1"/>
      <c r="N13" s="1"/>
    </row>
    <row r="14" spans="1:14" ht="27.95" customHeight="1" thickBot="1" x14ac:dyDescent="0.35">
      <c r="A14" s="12"/>
      <c r="B14" s="111" t="s">
        <v>282</v>
      </c>
      <c r="C14" s="19"/>
      <c r="D14" s="19"/>
      <c r="E14" s="19"/>
      <c r="F14" s="19"/>
      <c r="G14" s="19"/>
      <c r="H14" s="19"/>
      <c r="I14" s="19"/>
      <c r="J14" s="19"/>
      <c r="K14" s="19"/>
      <c r="L14" s="157"/>
      <c r="M14" s="157"/>
      <c r="N14" s="1"/>
    </row>
    <row r="15" spans="1:14" ht="27.95" customHeight="1" x14ac:dyDescent="0.25">
      <c r="A15" s="12"/>
      <c r="B15" s="64" t="s">
        <v>283</v>
      </c>
      <c r="C15" s="65" t="s">
        <v>284</v>
      </c>
      <c r="D15" s="65" t="s">
        <v>285</v>
      </c>
      <c r="E15" s="65" t="s">
        <v>286</v>
      </c>
      <c r="F15" s="65" t="s">
        <v>287</v>
      </c>
      <c r="G15" s="66" t="s">
        <v>280</v>
      </c>
      <c r="H15" s="12"/>
      <c r="I15" s="12"/>
      <c r="J15" s="12"/>
      <c r="K15" s="12"/>
      <c r="L15" s="1"/>
      <c r="M15" s="1"/>
      <c r="N15" s="1"/>
    </row>
    <row r="16" spans="1:14" ht="21.95" customHeight="1" x14ac:dyDescent="0.25">
      <c r="A16" s="12"/>
      <c r="B16" s="67" t="s">
        <v>288</v>
      </c>
      <c r="C16" s="103" t="s">
        <v>289</v>
      </c>
      <c r="D16" s="167">
        <v>200</v>
      </c>
      <c r="E16" s="167">
        <v>3</v>
      </c>
      <c r="F16" s="167">
        <v>12</v>
      </c>
      <c r="G16" s="168">
        <f t="shared" ref="G16:G23" si="0">D16*E16*F16</f>
        <v>7200</v>
      </c>
      <c r="H16" s="12"/>
      <c r="I16" s="12"/>
      <c r="J16" s="12"/>
      <c r="K16" s="12"/>
      <c r="L16" s="1"/>
      <c r="M16" s="1"/>
      <c r="N16" s="1"/>
    </row>
    <row r="17" spans="1:14" ht="21.95" customHeight="1" x14ac:dyDescent="0.25">
      <c r="A17" s="12"/>
      <c r="B17" s="71" t="s">
        <v>290</v>
      </c>
      <c r="C17" s="102" t="s">
        <v>291</v>
      </c>
      <c r="D17" s="169">
        <v>50</v>
      </c>
      <c r="E17" s="169">
        <v>5</v>
      </c>
      <c r="F17" s="169">
        <v>6</v>
      </c>
      <c r="G17" s="170">
        <f t="shared" si="0"/>
        <v>1500</v>
      </c>
      <c r="H17" s="12"/>
      <c r="I17" s="12"/>
      <c r="J17" s="12"/>
      <c r="K17" s="12"/>
      <c r="L17" s="1"/>
      <c r="M17" s="1"/>
      <c r="N17" s="1"/>
    </row>
    <row r="18" spans="1:14" ht="21.95" customHeight="1" x14ac:dyDescent="0.25">
      <c r="A18" s="12"/>
      <c r="B18" s="67" t="s">
        <v>292</v>
      </c>
      <c r="C18" s="103" t="s">
        <v>293</v>
      </c>
      <c r="D18" s="167">
        <v>300</v>
      </c>
      <c r="E18" s="167">
        <v>1</v>
      </c>
      <c r="F18" s="167">
        <v>1</v>
      </c>
      <c r="G18" s="168">
        <f t="shared" si="0"/>
        <v>300</v>
      </c>
      <c r="H18" s="12"/>
      <c r="I18" s="12"/>
      <c r="J18" s="12"/>
      <c r="K18" s="12"/>
      <c r="L18" s="1"/>
      <c r="M18" s="1"/>
      <c r="N18" s="1"/>
    </row>
    <row r="19" spans="1:14" ht="21.95" customHeight="1" x14ac:dyDescent="0.25">
      <c r="A19" s="12"/>
      <c r="B19" s="71" t="s">
        <v>294</v>
      </c>
      <c r="C19" s="102" t="s">
        <v>295</v>
      </c>
      <c r="D19" s="169">
        <v>400</v>
      </c>
      <c r="E19" s="169">
        <v>1</v>
      </c>
      <c r="F19" s="169">
        <v>1</v>
      </c>
      <c r="G19" s="170">
        <f t="shared" si="0"/>
        <v>400</v>
      </c>
      <c r="H19" s="12"/>
      <c r="I19" s="12"/>
      <c r="J19" s="12"/>
      <c r="K19" s="12"/>
      <c r="L19" s="1"/>
      <c r="M19" s="1"/>
      <c r="N19" s="1"/>
    </row>
    <row r="20" spans="1:14" ht="21.95" customHeight="1" x14ac:dyDescent="0.25">
      <c r="A20" s="12"/>
      <c r="B20" s="67" t="s">
        <v>296</v>
      </c>
      <c r="C20" s="103" t="s">
        <v>297</v>
      </c>
      <c r="D20" s="167">
        <v>150</v>
      </c>
      <c r="E20" s="167">
        <v>1</v>
      </c>
      <c r="F20" s="167">
        <v>6</v>
      </c>
      <c r="G20" s="168">
        <f t="shared" si="0"/>
        <v>900</v>
      </c>
      <c r="H20" s="12"/>
      <c r="I20" s="12"/>
      <c r="J20" s="12"/>
      <c r="K20" s="12"/>
      <c r="L20" s="1"/>
      <c r="M20" s="1"/>
      <c r="N20" s="1"/>
    </row>
    <row r="21" spans="1:14" ht="21.95" customHeight="1" x14ac:dyDescent="0.25">
      <c r="A21" s="12"/>
      <c r="B21" s="71" t="s">
        <v>298</v>
      </c>
      <c r="C21" s="102" t="s">
        <v>299</v>
      </c>
      <c r="D21" s="169">
        <v>500</v>
      </c>
      <c r="E21" s="169">
        <v>1</v>
      </c>
      <c r="F21" s="169">
        <v>6</v>
      </c>
      <c r="G21" s="170">
        <f t="shared" si="0"/>
        <v>3000</v>
      </c>
      <c r="H21" s="12"/>
      <c r="I21" s="12"/>
      <c r="J21" s="12"/>
      <c r="K21" s="12"/>
      <c r="L21" s="1"/>
      <c r="M21" s="1"/>
      <c r="N21" s="1"/>
    </row>
    <row r="22" spans="1:14" ht="21.95" customHeight="1" x14ac:dyDescent="0.25">
      <c r="A22" s="12"/>
      <c r="B22" s="67" t="s">
        <v>300</v>
      </c>
      <c r="C22" s="103" t="s">
        <v>301</v>
      </c>
      <c r="D22" s="167">
        <v>800</v>
      </c>
      <c r="E22" s="167">
        <v>2</v>
      </c>
      <c r="F22" s="167">
        <v>1</v>
      </c>
      <c r="G22" s="168">
        <f t="shared" si="0"/>
        <v>1600</v>
      </c>
      <c r="H22" s="12"/>
      <c r="I22" s="12"/>
      <c r="J22" s="12"/>
      <c r="K22" s="12"/>
      <c r="L22" s="1"/>
      <c r="M22" s="1"/>
      <c r="N22" s="1"/>
    </row>
    <row r="23" spans="1:14" ht="21.95" customHeight="1" x14ac:dyDescent="0.25">
      <c r="A23" s="12"/>
      <c r="B23" s="71" t="s">
        <v>302</v>
      </c>
      <c r="C23" s="102" t="s">
        <v>303</v>
      </c>
      <c r="D23" s="169">
        <v>500</v>
      </c>
      <c r="E23" s="169">
        <v>2</v>
      </c>
      <c r="F23" s="169">
        <v>1</v>
      </c>
      <c r="G23" s="170">
        <f t="shared" si="0"/>
        <v>1000</v>
      </c>
      <c r="H23" s="12"/>
      <c r="I23" s="12"/>
      <c r="J23" s="12"/>
      <c r="K23" s="12"/>
      <c r="L23" s="1"/>
      <c r="M23" s="1"/>
      <c r="N23" s="1"/>
    </row>
    <row r="24" spans="1:14" ht="21.95" customHeight="1" x14ac:dyDescent="0.25">
      <c r="A24" s="12"/>
      <c r="B24" s="67" t="s">
        <v>304</v>
      </c>
      <c r="C24" s="103" t="s">
        <v>305</v>
      </c>
      <c r="D24" s="167">
        <v>0</v>
      </c>
      <c r="E24" s="167">
        <v>1</v>
      </c>
      <c r="F24" s="167">
        <v>1</v>
      </c>
      <c r="G24" s="168">
        <f>SUM(G16:G23)*0.1</f>
        <v>1590</v>
      </c>
      <c r="H24" s="12"/>
      <c r="I24" s="12"/>
      <c r="J24" s="12"/>
      <c r="K24" s="12"/>
      <c r="L24" s="1"/>
      <c r="M24" s="1"/>
      <c r="N24" s="1"/>
    </row>
    <row r="25" spans="1:14" ht="27.95" customHeight="1" thickBot="1" x14ac:dyDescent="0.35">
      <c r="A25" s="12"/>
      <c r="B25" s="171" t="s">
        <v>306</v>
      </c>
      <c r="C25" s="172"/>
      <c r="D25" s="173"/>
      <c r="E25" s="173"/>
      <c r="F25" s="173"/>
      <c r="G25" s="166">
        <f>SUM(G16:G24)</f>
        <v>17490</v>
      </c>
      <c r="H25" s="12"/>
      <c r="I25" s="12"/>
      <c r="J25" s="12"/>
      <c r="K25" s="12"/>
      <c r="L25" s="1"/>
      <c r="M25" s="1"/>
      <c r="N25" s="1"/>
    </row>
    <row r="26" spans="1:14" ht="15.75" thickBot="1" x14ac:dyDescent="0.3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"/>
      <c r="M26" s="1"/>
      <c r="N26" s="1"/>
    </row>
    <row r="27" spans="1:14" ht="30" customHeight="1" x14ac:dyDescent="0.35">
      <c r="A27" s="12"/>
      <c r="B27" s="174" t="s">
        <v>307</v>
      </c>
      <c r="C27" s="175"/>
      <c r="D27" s="175"/>
      <c r="E27" s="175"/>
      <c r="F27" s="175"/>
      <c r="G27" s="175"/>
      <c r="H27" s="175"/>
      <c r="I27" s="175"/>
      <c r="J27" s="176">
        <f>J12+G25</f>
        <v>327306</v>
      </c>
      <c r="K27" s="177"/>
      <c r="L27" s="178"/>
      <c r="M27" s="178"/>
      <c r="N27" s="1"/>
    </row>
    <row r="28" spans="1:14" ht="27.95" customHeight="1" x14ac:dyDescent="0.3">
      <c r="A28" s="12"/>
      <c r="B28" s="179" t="s">
        <v>308</v>
      </c>
      <c r="C28" s="180"/>
      <c r="D28" s="180"/>
      <c r="E28" s="180"/>
      <c r="F28" s="180"/>
      <c r="G28" s="180"/>
      <c r="H28" s="180"/>
      <c r="I28" s="180"/>
      <c r="J28" s="181">
        <f>ROUND(J27*0.175,2)</f>
        <v>57278.55</v>
      </c>
      <c r="K28" s="182"/>
      <c r="L28" s="183"/>
      <c r="M28" s="183"/>
      <c r="N28" s="1"/>
    </row>
    <row r="29" spans="1:14" ht="39.950000000000003" customHeight="1" x14ac:dyDescent="0.25">
      <c r="A29" s="12"/>
      <c r="B29" s="150" t="s">
        <v>309</v>
      </c>
      <c r="C29" s="151"/>
      <c r="D29" s="151"/>
      <c r="E29" s="151"/>
      <c r="F29" s="151"/>
      <c r="G29" s="151"/>
      <c r="H29" s="151"/>
      <c r="I29" s="151"/>
      <c r="J29" s="152" t="s">
        <v>366</v>
      </c>
      <c r="K29" s="151"/>
      <c r="L29" s="7"/>
      <c r="M29" s="7"/>
      <c r="N29" s="1"/>
    </row>
    <row r="30" spans="1:14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53">
        <f>J27+J28</f>
        <v>384584.55</v>
      </c>
      <c r="K30" s="12"/>
      <c r="L30" s="1"/>
      <c r="M30" s="1"/>
      <c r="N30" s="1"/>
    </row>
    <row r="31" spans="1:1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3">
        <f>K29</f>
        <v>0</v>
      </c>
      <c r="N34" s="1"/>
    </row>
    <row r="35" spans="1:1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</row>
  </sheetData>
  <mergeCells count="11">
    <mergeCell ref="J27:M27"/>
    <mergeCell ref="J28:M28"/>
    <mergeCell ref="B2:M2"/>
    <mergeCell ref="B29:I29"/>
    <mergeCell ref="B3:M3"/>
    <mergeCell ref="B5:M5"/>
    <mergeCell ref="B25:F25"/>
    <mergeCell ref="B28:I28"/>
    <mergeCell ref="B14:M14"/>
    <mergeCell ref="J29:M29"/>
    <mergeCell ref="B27:I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0"/>
  <sheetViews>
    <sheetView showGridLines="0" workbookViewId="0">
      <pane ySplit="6" topLeftCell="A7" activePane="bottomLeft" state="frozen"/>
      <selection pane="bottomLeft" activeCell="B2" sqref="B2:K2"/>
    </sheetView>
  </sheetViews>
  <sheetFormatPr defaultRowHeight="15" x14ac:dyDescent="0.25"/>
  <cols>
    <col min="1" max="1" width="2.85546875" customWidth="1"/>
    <col min="2" max="4" width="19" customWidth="1"/>
    <col min="5" max="5" width="17.140625" customWidth="1"/>
    <col min="6" max="6" width="19" customWidth="1"/>
    <col min="7" max="7" width="26.7109375" customWidth="1"/>
    <col min="8" max="10" width="17.140625" customWidth="1"/>
    <col min="11" max="11" width="19" customWidth="1"/>
    <col min="12" max="12" width="2.85546875" customWidth="1"/>
  </cols>
  <sheetData>
    <row r="1" spans="1:12" x14ac:dyDescent="0.25">
      <c r="A1" s="30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35.1" customHeight="1" x14ac:dyDescent="0.25">
      <c r="A2" s="12"/>
      <c r="B2" s="86" t="s">
        <v>310</v>
      </c>
      <c r="C2" s="16"/>
      <c r="D2" s="16"/>
      <c r="E2" s="16"/>
      <c r="F2" s="16"/>
      <c r="G2" s="16"/>
      <c r="H2" s="16"/>
      <c r="I2" s="16"/>
      <c r="J2" s="16"/>
      <c r="K2" s="16"/>
      <c r="L2" s="12"/>
    </row>
    <row r="3" spans="1:12" ht="24.95" customHeight="1" thickBot="1" x14ac:dyDescent="0.3">
      <c r="A3" s="12"/>
      <c r="B3" s="61" t="s">
        <v>311</v>
      </c>
      <c r="C3" s="62"/>
      <c r="D3" s="62"/>
      <c r="E3" s="62"/>
      <c r="F3" s="62"/>
      <c r="G3" s="62"/>
      <c r="H3" s="62"/>
      <c r="I3" s="62"/>
      <c r="J3" s="62"/>
      <c r="K3" s="62"/>
      <c r="L3" s="12"/>
    </row>
    <row r="4" spans="1:12" ht="8.1" customHeight="1" thickTop="1" x14ac:dyDescent="0.25">
      <c r="A4" s="12"/>
      <c r="B4" s="18"/>
      <c r="C4" s="18"/>
      <c r="D4" s="18"/>
      <c r="E4" s="18"/>
      <c r="F4" s="18"/>
      <c r="G4" s="18"/>
      <c r="H4" s="18"/>
      <c r="I4" s="18"/>
      <c r="J4" s="18"/>
      <c r="K4" s="18"/>
      <c r="L4" s="12"/>
    </row>
    <row r="5" spans="1:12" ht="27.95" customHeight="1" thickBot="1" x14ac:dyDescent="0.35">
      <c r="A5" s="12"/>
      <c r="B5" s="89" t="s">
        <v>312</v>
      </c>
      <c r="C5" s="19"/>
      <c r="D5" s="19"/>
      <c r="E5" s="19"/>
      <c r="F5" s="19"/>
      <c r="G5" s="19"/>
      <c r="H5" s="19"/>
      <c r="I5" s="19"/>
      <c r="J5" s="19"/>
      <c r="K5" s="19"/>
      <c r="L5" s="12"/>
    </row>
    <row r="6" spans="1:12" ht="27.95" customHeight="1" x14ac:dyDescent="0.25">
      <c r="A6" s="12"/>
      <c r="B6" s="64" t="s">
        <v>150</v>
      </c>
      <c r="C6" s="65" t="s">
        <v>313</v>
      </c>
      <c r="D6" s="65" t="s">
        <v>314</v>
      </c>
      <c r="E6" s="65" t="s">
        <v>153</v>
      </c>
      <c r="F6" s="65" t="s">
        <v>315</v>
      </c>
      <c r="G6" s="65" t="s">
        <v>316</v>
      </c>
      <c r="H6" s="65" t="s">
        <v>317</v>
      </c>
      <c r="I6" s="65" t="s">
        <v>318</v>
      </c>
      <c r="J6" s="65" t="s">
        <v>319</v>
      </c>
      <c r="K6" s="66" t="s">
        <v>154</v>
      </c>
      <c r="L6" s="12"/>
    </row>
    <row r="7" spans="1:12" ht="21.95" customHeight="1" x14ac:dyDescent="0.25">
      <c r="A7" s="12"/>
      <c r="B7" s="184" t="s">
        <v>156</v>
      </c>
      <c r="C7" s="69">
        <f>ROUND('🃏 Story Points'!F33/'🃏 Story Points'!C9,1)</f>
        <v>62.2</v>
      </c>
      <c r="D7" s="69"/>
      <c r="E7" s="69" t="str">
        <f t="shared" ref="E7:E14" si="0">IF(AND(C7&lt;&gt;"",D7&lt;&gt;""),D7-C7,"")</f>
        <v/>
      </c>
      <c r="F7" s="185">
        <f>'⚙️ Config'!C12</f>
        <v>5</v>
      </c>
      <c r="G7" s="185"/>
      <c r="H7" s="158"/>
      <c r="I7" s="186"/>
      <c r="J7" s="158"/>
      <c r="K7" s="83" t="str">
        <f t="shared" ref="K7:K14" si="1">IF(D7="","— Planned",IF(D7&lt;=C7,"🟢 On Track","🔴 Over Budget"))</f>
        <v>— Planned</v>
      </c>
      <c r="L7" s="12"/>
    </row>
    <row r="8" spans="1:12" ht="21.95" customHeight="1" x14ac:dyDescent="0.25">
      <c r="A8" s="12"/>
      <c r="B8" s="187" t="s">
        <v>161</v>
      </c>
      <c r="C8" s="73">
        <f>ROUND('🃏 Story Points'!F33/'🃏 Story Points'!C9,1)</f>
        <v>62.2</v>
      </c>
      <c r="D8" s="73"/>
      <c r="E8" s="73" t="str">
        <f t="shared" si="0"/>
        <v/>
      </c>
      <c r="F8" s="188">
        <f>'⚙️ Config'!C12</f>
        <v>5</v>
      </c>
      <c r="G8" s="188"/>
      <c r="H8" s="161"/>
      <c r="I8" s="189"/>
      <c r="J8" s="161"/>
      <c r="K8" s="84" t="str">
        <f t="shared" si="1"/>
        <v>— Planned</v>
      </c>
      <c r="L8" s="12"/>
    </row>
    <row r="9" spans="1:12" ht="21.95" customHeight="1" x14ac:dyDescent="0.25">
      <c r="A9" s="12"/>
      <c r="B9" s="184" t="s">
        <v>167</v>
      </c>
      <c r="C9" s="69">
        <f>ROUND('🃏 Story Points'!F33/'🃏 Story Points'!C9,1)</f>
        <v>62.2</v>
      </c>
      <c r="D9" s="69"/>
      <c r="E9" s="69" t="str">
        <f t="shared" si="0"/>
        <v/>
      </c>
      <c r="F9" s="185">
        <f>'⚙️ Config'!C12</f>
        <v>5</v>
      </c>
      <c r="G9" s="185"/>
      <c r="H9" s="158"/>
      <c r="I9" s="186"/>
      <c r="J9" s="158"/>
      <c r="K9" s="83" t="str">
        <f t="shared" si="1"/>
        <v>— Planned</v>
      </c>
      <c r="L9" s="12"/>
    </row>
    <row r="10" spans="1:12" ht="21.95" customHeight="1" x14ac:dyDescent="0.25">
      <c r="A10" s="12"/>
      <c r="B10" s="187" t="s">
        <v>171</v>
      </c>
      <c r="C10" s="73">
        <f>ROUND('🃏 Story Points'!F33/'🃏 Story Points'!C9,1)</f>
        <v>62.2</v>
      </c>
      <c r="D10" s="73"/>
      <c r="E10" s="73" t="str">
        <f t="shared" si="0"/>
        <v/>
      </c>
      <c r="F10" s="188">
        <f>'⚙️ Config'!C12</f>
        <v>5</v>
      </c>
      <c r="G10" s="188"/>
      <c r="H10" s="161"/>
      <c r="I10" s="189"/>
      <c r="J10" s="161"/>
      <c r="K10" s="84" t="str">
        <f t="shared" si="1"/>
        <v>— Planned</v>
      </c>
      <c r="L10" s="12"/>
    </row>
    <row r="11" spans="1:12" ht="21.95" customHeight="1" x14ac:dyDescent="0.25">
      <c r="A11" s="12"/>
      <c r="B11" s="184" t="s">
        <v>176</v>
      </c>
      <c r="C11" s="69">
        <f>ROUND('🃏 Story Points'!F33/'🃏 Story Points'!C9,1)</f>
        <v>62.2</v>
      </c>
      <c r="D11" s="69"/>
      <c r="E11" s="69" t="str">
        <f t="shared" si="0"/>
        <v/>
      </c>
      <c r="F11" s="185">
        <f>'⚙️ Config'!C12</f>
        <v>5</v>
      </c>
      <c r="G11" s="185"/>
      <c r="H11" s="158"/>
      <c r="I11" s="186"/>
      <c r="J11" s="158"/>
      <c r="K11" s="83" t="str">
        <f t="shared" si="1"/>
        <v>— Planned</v>
      </c>
      <c r="L11" s="12"/>
    </row>
    <row r="12" spans="1:12" ht="21.95" customHeight="1" x14ac:dyDescent="0.25">
      <c r="A12" s="12"/>
      <c r="B12" s="187" t="s">
        <v>180</v>
      </c>
      <c r="C12" s="73">
        <f>ROUND('🃏 Story Points'!F33/'🃏 Story Points'!C9,1)</f>
        <v>62.2</v>
      </c>
      <c r="D12" s="73"/>
      <c r="E12" s="73" t="str">
        <f t="shared" si="0"/>
        <v/>
      </c>
      <c r="F12" s="188">
        <f>'⚙️ Config'!C12</f>
        <v>5</v>
      </c>
      <c r="G12" s="188"/>
      <c r="H12" s="161"/>
      <c r="I12" s="189"/>
      <c r="J12" s="161"/>
      <c r="K12" s="84" t="str">
        <f t="shared" si="1"/>
        <v>— Planned</v>
      </c>
      <c r="L12" s="12"/>
    </row>
    <row r="13" spans="1:12" ht="21.95" customHeight="1" x14ac:dyDescent="0.25">
      <c r="A13" s="12"/>
      <c r="B13" s="184" t="s">
        <v>183</v>
      </c>
      <c r="C13" s="69">
        <f>ROUND('🃏 Story Points'!F33/'🃏 Story Points'!C9,1)</f>
        <v>62.2</v>
      </c>
      <c r="D13" s="69"/>
      <c r="E13" s="69" t="str">
        <f t="shared" si="0"/>
        <v/>
      </c>
      <c r="F13" s="185">
        <f>'⚙️ Config'!C12</f>
        <v>5</v>
      </c>
      <c r="G13" s="185"/>
      <c r="H13" s="158"/>
      <c r="I13" s="186"/>
      <c r="J13" s="158"/>
      <c r="K13" s="83" t="str">
        <f t="shared" si="1"/>
        <v>— Planned</v>
      </c>
      <c r="L13" s="12"/>
    </row>
    <row r="14" spans="1:12" ht="21.95" customHeight="1" x14ac:dyDescent="0.25">
      <c r="A14" s="12"/>
      <c r="B14" s="187" t="s">
        <v>320</v>
      </c>
      <c r="C14" s="73">
        <f>ROUND('🃏 Story Points'!F33/'🃏 Story Points'!C9,1)</f>
        <v>62.2</v>
      </c>
      <c r="D14" s="73"/>
      <c r="E14" s="73" t="str">
        <f t="shared" si="0"/>
        <v/>
      </c>
      <c r="F14" s="188">
        <f>'⚙️ Config'!C12</f>
        <v>5</v>
      </c>
      <c r="G14" s="188"/>
      <c r="H14" s="161"/>
      <c r="I14" s="189"/>
      <c r="J14" s="161"/>
      <c r="K14" s="84" t="str">
        <f t="shared" si="1"/>
        <v>— Planned</v>
      </c>
      <c r="L14" s="12"/>
    </row>
    <row r="15" spans="1:12" ht="27.95" customHeight="1" thickBot="1" x14ac:dyDescent="0.3">
      <c r="A15" s="12"/>
      <c r="B15" s="190" t="s">
        <v>108</v>
      </c>
      <c r="C15" s="76">
        <f>SUM(C7:C14)</f>
        <v>497.59999999999997</v>
      </c>
      <c r="D15" s="76">
        <f>SUM(D7:D14)</f>
        <v>0</v>
      </c>
      <c r="E15" s="76">
        <f>SUM(E7:E14)</f>
        <v>0</v>
      </c>
      <c r="F15" s="108"/>
      <c r="G15" s="108"/>
      <c r="H15" s="165">
        <f>SUM(H7:H14)</f>
        <v>0</v>
      </c>
      <c r="I15" s="191" t="str">
        <f>IFERROR(AVERAGE(I7:I14),"")</f>
        <v/>
      </c>
      <c r="J15" s="165">
        <f>SUM(J7:J14)</f>
        <v>0</v>
      </c>
      <c r="K15" s="109"/>
      <c r="L15" s="12"/>
    </row>
    <row r="16" spans="1:12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mergeCells count="3">
    <mergeCell ref="B3:K3"/>
    <mergeCell ref="B5:K5"/>
    <mergeCell ref="B2:K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3"/>
  <sheetViews>
    <sheetView showGridLines="0" workbookViewId="0">
      <pane ySplit="3" topLeftCell="A4" activePane="bottomLeft" state="frozen"/>
      <selection pane="bottomLeft" activeCell="B2" sqref="B2:D2"/>
    </sheetView>
  </sheetViews>
  <sheetFormatPr defaultRowHeight="15" x14ac:dyDescent="0.25"/>
  <cols>
    <col min="1" max="1" width="2.85546875" customWidth="1"/>
    <col min="2" max="2" width="114.28515625" customWidth="1"/>
    <col min="3" max="9" width="19" customWidth="1"/>
  </cols>
  <sheetData>
    <row r="1" spans="1:9" ht="15.75" thickBot="1" x14ac:dyDescent="0.3">
      <c r="A1" s="192"/>
      <c r="B1" s="192"/>
      <c r="C1" s="192"/>
      <c r="D1" s="192"/>
      <c r="E1" s="193"/>
      <c r="F1" s="193"/>
      <c r="G1" s="193"/>
      <c r="H1" s="193"/>
      <c r="I1" s="193"/>
    </row>
    <row r="2" spans="1:9" ht="27" thickBot="1" x14ac:dyDescent="0.3">
      <c r="A2" s="192"/>
      <c r="B2" s="195" t="s">
        <v>321</v>
      </c>
      <c r="C2" s="196"/>
      <c r="D2" s="11"/>
      <c r="E2" s="197"/>
      <c r="F2" s="197"/>
      <c r="G2" s="197"/>
      <c r="H2" s="197"/>
      <c r="I2" s="193"/>
    </row>
    <row r="3" spans="1:9" ht="15.75" thickTop="1" x14ac:dyDescent="0.25">
      <c r="A3" s="192"/>
      <c r="B3" s="198"/>
      <c r="C3" s="199"/>
      <c r="D3" s="200"/>
      <c r="E3" s="201"/>
      <c r="F3" s="201"/>
      <c r="G3" s="201"/>
      <c r="H3" s="201"/>
      <c r="I3" s="193"/>
    </row>
    <row r="4" spans="1:9" x14ac:dyDescent="0.25">
      <c r="A4" s="192"/>
      <c r="B4" s="202" t="s">
        <v>322</v>
      </c>
      <c r="C4" s="203" t="s">
        <v>323</v>
      </c>
      <c r="D4" s="204"/>
      <c r="E4" s="204"/>
      <c r="F4" s="204"/>
      <c r="G4" s="204"/>
      <c r="H4" s="204"/>
      <c r="I4" s="193"/>
    </row>
    <row r="5" spans="1:9" x14ac:dyDescent="0.25">
      <c r="A5" s="192"/>
      <c r="B5" s="205" t="s">
        <v>324</v>
      </c>
      <c r="C5" s="206"/>
      <c r="D5" s="204"/>
      <c r="E5" s="204"/>
      <c r="F5" s="204"/>
      <c r="G5" s="204"/>
      <c r="H5" s="204"/>
      <c r="I5" s="193"/>
    </row>
    <row r="6" spans="1:9" ht="28.5" x14ac:dyDescent="0.25">
      <c r="A6" s="192"/>
      <c r="B6" s="207" t="s">
        <v>325</v>
      </c>
      <c r="C6" s="208" t="s">
        <v>326</v>
      </c>
      <c r="D6" s="204"/>
      <c r="E6" s="204"/>
      <c r="F6" s="204"/>
      <c r="G6" s="204"/>
      <c r="H6" s="204"/>
      <c r="I6" s="193"/>
    </row>
    <row r="7" spans="1:9" x14ac:dyDescent="0.25">
      <c r="A7" s="192"/>
      <c r="B7" s="205" t="s">
        <v>327</v>
      </c>
      <c r="C7" s="206"/>
      <c r="D7" s="204"/>
      <c r="E7" s="204"/>
      <c r="F7" s="204"/>
      <c r="G7" s="204"/>
      <c r="H7" s="204"/>
      <c r="I7" s="193"/>
    </row>
    <row r="8" spans="1:9" ht="28.5" x14ac:dyDescent="0.25">
      <c r="A8" s="192"/>
      <c r="B8" s="207" t="s">
        <v>328</v>
      </c>
      <c r="C8" s="208" t="s">
        <v>329</v>
      </c>
      <c r="D8" s="204"/>
      <c r="E8" s="204"/>
      <c r="F8" s="204"/>
      <c r="G8" s="204"/>
      <c r="H8" s="204"/>
      <c r="I8" s="193"/>
    </row>
    <row r="9" spans="1:9" x14ac:dyDescent="0.25">
      <c r="A9" s="192"/>
      <c r="B9" s="205" t="s">
        <v>330</v>
      </c>
      <c r="C9" s="206"/>
      <c r="D9" s="204"/>
      <c r="E9" s="204"/>
      <c r="F9" s="204"/>
      <c r="G9" s="204"/>
      <c r="H9" s="204"/>
      <c r="I9" s="193"/>
    </row>
    <row r="10" spans="1:9" ht="28.5" x14ac:dyDescent="0.25">
      <c r="A10" s="192"/>
      <c r="B10" s="207" t="s">
        <v>331</v>
      </c>
      <c r="C10" s="208" t="s">
        <v>332</v>
      </c>
      <c r="D10" s="204"/>
      <c r="E10" s="204"/>
      <c r="F10" s="204"/>
      <c r="G10" s="204"/>
      <c r="H10" s="204"/>
      <c r="I10" s="193"/>
    </row>
    <row r="11" spans="1:9" x14ac:dyDescent="0.25">
      <c r="A11" s="192"/>
      <c r="B11" s="205" t="s">
        <v>333</v>
      </c>
      <c r="C11" s="206"/>
      <c r="D11" s="204"/>
      <c r="E11" s="204"/>
      <c r="F11" s="204"/>
      <c r="G11" s="204"/>
      <c r="H11" s="204"/>
      <c r="I11" s="193"/>
    </row>
    <row r="12" spans="1:9" x14ac:dyDescent="0.25">
      <c r="A12" s="192"/>
      <c r="B12" s="207" t="s">
        <v>334</v>
      </c>
      <c r="C12" s="208" t="s">
        <v>335</v>
      </c>
      <c r="D12" s="204"/>
      <c r="E12" s="204"/>
      <c r="F12" s="204"/>
      <c r="G12" s="204"/>
      <c r="H12" s="204"/>
      <c r="I12" s="193"/>
    </row>
    <row r="13" spans="1:9" x14ac:dyDescent="0.25">
      <c r="A13" s="192"/>
      <c r="B13" s="205" t="s">
        <v>336</v>
      </c>
      <c r="C13" s="206"/>
      <c r="D13" s="204"/>
      <c r="E13" s="204"/>
      <c r="F13" s="204"/>
      <c r="G13" s="204"/>
      <c r="H13" s="204"/>
      <c r="I13" s="193"/>
    </row>
    <row r="14" spans="1:9" x14ac:dyDescent="0.25">
      <c r="A14" s="192"/>
      <c r="B14" s="207" t="s">
        <v>337</v>
      </c>
      <c r="C14" s="208" t="s">
        <v>338</v>
      </c>
      <c r="D14" s="204"/>
      <c r="E14" s="204"/>
      <c r="F14" s="204"/>
      <c r="G14" s="204"/>
      <c r="H14" s="204"/>
      <c r="I14" s="193"/>
    </row>
    <row r="15" spans="1:9" x14ac:dyDescent="0.25">
      <c r="A15" s="192"/>
      <c r="B15" s="205" t="s">
        <v>339</v>
      </c>
      <c r="C15" s="206"/>
      <c r="D15" s="204"/>
      <c r="E15" s="204"/>
      <c r="F15" s="204"/>
      <c r="G15" s="204"/>
      <c r="H15" s="204"/>
      <c r="I15" s="193"/>
    </row>
    <row r="16" spans="1:9" ht="28.5" x14ac:dyDescent="0.25">
      <c r="A16" s="192"/>
      <c r="B16" s="207" t="s">
        <v>340</v>
      </c>
      <c r="C16" s="208" t="s">
        <v>341</v>
      </c>
      <c r="D16" s="204"/>
      <c r="E16" s="204"/>
      <c r="F16" s="204"/>
      <c r="G16" s="204"/>
      <c r="H16" s="204"/>
      <c r="I16" s="193"/>
    </row>
    <row r="17" spans="1:9" x14ac:dyDescent="0.25">
      <c r="A17" s="192"/>
      <c r="B17" s="205" t="s">
        <v>342</v>
      </c>
      <c r="C17" s="206"/>
      <c r="D17" s="204"/>
      <c r="E17" s="204"/>
      <c r="F17" s="204"/>
      <c r="G17" s="204"/>
      <c r="H17" s="204"/>
      <c r="I17" s="193"/>
    </row>
    <row r="18" spans="1:9" ht="28.5" x14ac:dyDescent="0.25">
      <c r="A18" s="192"/>
      <c r="B18" s="207" t="s">
        <v>343</v>
      </c>
      <c r="C18" s="208" t="s">
        <v>344</v>
      </c>
      <c r="D18" s="204"/>
      <c r="E18" s="204"/>
      <c r="F18" s="204"/>
      <c r="G18" s="204"/>
      <c r="H18" s="204"/>
      <c r="I18" s="193"/>
    </row>
    <row r="19" spans="1:9" x14ac:dyDescent="0.25">
      <c r="A19" s="192"/>
      <c r="B19" s="205" t="s">
        <v>345</v>
      </c>
      <c r="C19" s="206"/>
      <c r="D19" s="204"/>
      <c r="E19" s="204"/>
      <c r="F19" s="204"/>
      <c r="G19" s="204"/>
      <c r="H19" s="204"/>
      <c r="I19" s="193"/>
    </row>
    <row r="20" spans="1:9" ht="28.5" x14ac:dyDescent="0.25">
      <c r="A20" s="192"/>
      <c r="B20" s="207" t="s">
        <v>346</v>
      </c>
      <c r="C20" s="208" t="s">
        <v>347</v>
      </c>
      <c r="D20" s="204"/>
      <c r="E20" s="204"/>
      <c r="F20" s="204"/>
      <c r="G20" s="204"/>
      <c r="H20" s="204"/>
      <c r="I20" s="193"/>
    </row>
    <row r="21" spans="1:9" x14ac:dyDescent="0.25">
      <c r="A21" s="192"/>
      <c r="B21" s="205" t="s">
        <v>348</v>
      </c>
      <c r="C21" s="206"/>
      <c r="D21" s="204"/>
      <c r="E21" s="204"/>
      <c r="F21" s="204"/>
      <c r="G21" s="204"/>
      <c r="H21" s="204"/>
      <c r="I21" s="193"/>
    </row>
    <row r="22" spans="1:9" ht="28.5" x14ac:dyDescent="0.25">
      <c r="A22" s="192"/>
      <c r="B22" s="207" t="s">
        <v>349</v>
      </c>
      <c r="C22" s="208" t="s">
        <v>350</v>
      </c>
      <c r="D22" s="204"/>
      <c r="E22" s="204"/>
      <c r="F22" s="204"/>
      <c r="G22" s="204"/>
      <c r="H22" s="204"/>
      <c r="I22" s="193"/>
    </row>
    <row r="23" spans="1:9" x14ac:dyDescent="0.25">
      <c r="A23" s="192"/>
      <c r="B23" s="205" t="s">
        <v>351</v>
      </c>
      <c r="C23" s="206"/>
      <c r="D23" s="204"/>
      <c r="E23" s="204"/>
      <c r="F23" s="204"/>
      <c r="G23" s="204"/>
      <c r="H23" s="204"/>
      <c r="I23" s="193"/>
    </row>
    <row r="24" spans="1:9" ht="28.5" x14ac:dyDescent="0.25">
      <c r="A24" s="192"/>
      <c r="B24" s="207" t="s">
        <v>352</v>
      </c>
      <c r="C24" s="208" t="s">
        <v>353</v>
      </c>
      <c r="D24" s="204"/>
      <c r="E24" s="204"/>
      <c r="F24" s="204"/>
      <c r="G24" s="204"/>
      <c r="H24" s="204"/>
      <c r="I24" s="193"/>
    </row>
    <row r="25" spans="1:9" x14ac:dyDescent="0.25">
      <c r="A25" s="192"/>
      <c r="B25" s="205" t="s">
        <v>354</v>
      </c>
      <c r="C25" s="206"/>
      <c r="D25" s="204"/>
      <c r="E25" s="204"/>
      <c r="F25" s="204"/>
      <c r="G25" s="204"/>
      <c r="H25" s="204"/>
      <c r="I25" s="193"/>
    </row>
    <row r="26" spans="1:9" ht="28.5" x14ac:dyDescent="0.25">
      <c r="A26" s="192"/>
      <c r="B26" s="207" t="s">
        <v>355</v>
      </c>
      <c r="C26" s="208" t="s">
        <v>356</v>
      </c>
      <c r="D26" s="204"/>
      <c r="E26" s="204"/>
      <c r="F26" s="204"/>
      <c r="G26" s="204"/>
      <c r="H26" s="204"/>
      <c r="I26" s="193"/>
    </row>
    <row r="27" spans="1:9" x14ac:dyDescent="0.25">
      <c r="A27" s="192"/>
      <c r="B27" s="205" t="s">
        <v>357</v>
      </c>
      <c r="C27" s="206"/>
      <c r="D27" s="204"/>
      <c r="E27" s="204"/>
      <c r="F27" s="204"/>
      <c r="G27" s="204"/>
      <c r="H27" s="204"/>
      <c r="I27" s="193"/>
    </row>
    <row r="28" spans="1:9" ht="28.5" x14ac:dyDescent="0.25">
      <c r="A28" s="192"/>
      <c r="B28" s="207" t="s">
        <v>358</v>
      </c>
      <c r="C28" s="208" t="s">
        <v>359</v>
      </c>
      <c r="D28" s="204"/>
      <c r="E28" s="204"/>
      <c r="F28" s="204"/>
      <c r="G28" s="204"/>
      <c r="H28" s="204"/>
      <c r="I28" s="193"/>
    </row>
    <row r="29" spans="1:9" x14ac:dyDescent="0.25">
      <c r="A29" s="192"/>
      <c r="B29" s="205" t="s">
        <v>360</v>
      </c>
      <c r="C29" s="206"/>
      <c r="D29" s="204"/>
      <c r="E29" s="204"/>
      <c r="F29" s="204"/>
      <c r="G29" s="204"/>
      <c r="H29" s="204"/>
      <c r="I29" s="193"/>
    </row>
    <row r="30" spans="1:9" ht="57" x14ac:dyDescent="0.25">
      <c r="A30" s="192"/>
      <c r="B30" s="209" t="s">
        <v>361</v>
      </c>
      <c r="C30" s="210" t="s">
        <v>362</v>
      </c>
      <c r="D30" s="204"/>
      <c r="E30" s="204"/>
      <c r="F30" s="204"/>
      <c r="G30" s="204"/>
      <c r="H30" s="204"/>
      <c r="I30" s="193"/>
    </row>
    <row r="31" spans="1:9" ht="15.75" thickBot="1" x14ac:dyDescent="0.3">
      <c r="A31" s="192"/>
      <c r="B31" s="211" t="s">
        <v>363</v>
      </c>
      <c r="C31" s="212"/>
      <c r="D31" s="204"/>
      <c r="E31" s="204"/>
      <c r="F31" s="204"/>
      <c r="G31" s="204"/>
      <c r="H31" s="204"/>
      <c r="I31" s="193"/>
    </row>
    <row r="32" spans="1:9" x14ac:dyDescent="0.25">
      <c r="A32" s="194"/>
      <c r="B32" s="213"/>
      <c r="C32" s="213"/>
      <c r="D32" s="204"/>
      <c r="E32" s="204"/>
      <c r="F32" s="204"/>
      <c r="G32" s="204"/>
      <c r="H32" s="204"/>
      <c r="I32" s="194"/>
    </row>
    <row r="33" spans="1:9" x14ac:dyDescent="0.25">
      <c r="A33" s="194"/>
      <c r="B33" s="204"/>
      <c r="C33" s="204"/>
      <c r="D33" s="204"/>
      <c r="E33" s="204"/>
      <c r="F33" s="204"/>
      <c r="G33" s="204"/>
      <c r="H33" s="204"/>
      <c r="I33" s="194"/>
    </row>
    <row r="34" spans="1:9" x14ac:dyDescent="0.25">
      <c r="A34" s="194"/>
      <c r="B34" s="213"/>
      <c r="C34" s="213"/>
      <c r="D34" s="204"/>
      <c r="E34" s="204"/>
      <c r="F34" s="204"/>
      <c r="G34" s="204"/>
      <c r="H34" s="204"/>
      <c r="I34" s="194"/>
    </row>
    <row r="35" spans="1:9" x14ac:dyDescent="0.25">
      <c r="A35" s="194"/>
      <c r="B35" s="204"/>
      <c r="C35" s="204"/>
      <c r="D35" s="204"/>
      <c r="E35" s="204"/>
      <c r="F35" s="204"/>
      <c r="G35" s="204"/>
      <c r="H35" s="204"/>
      <c r="I35" s="194"/>
    </row>
    <row r="36" spans="1:9" x14ac:dyDescent="0.25">
      <c r="A36" s="194"/>
      <c r="B36" s="213"/>
      <c r="C36" s="213"/>
      <c r="D36" s="204"/>
      <c r="E36" s="204"/>
      <c r="F36" s="204"/>
      <c r="G36" s="204"/>
      <c r="H36" s="204"/>
      <c r="I36" s="194"/>
    </row>
    <row r="37" spans="1:9" x14ac:dyDescent="0.25">
      <c r="A37" s="194"/>
      <c r="B37" s="204"/>
      <c r="C37" s="204"/>
      <c r="D37" s="204"/>
      <c r="E37" s="204"/>
      <c r="F37" s="204"/>
      <c r="G37" s="204"/>
      <c r="H37" s="204"/>
      <c r="I37" s="194"/>
    </row>
    <row r="38" spans="1:9" x14ac:dyDescent="0.25">
      <c r="A38" s="194"/>
      <c r="B38" s="213"/>
      <c r="C38" s="213"/>
      <c r="D38" s="204"/>
      <c r="E38" s="204"/>
      <c r="F38" s="204"/>
      <c r="G38" s="204"/>
      <c r="H38" s="204"/>
      <c r="I38" s="194"/>
    </row>
    <row r="39" spans="1:9" x14ac:dyDescent="0.25">
      <c r="A39" s="194"/>
      <c r="B39" s="204"/>
      <c r="C39" s="204"/>
      <c r="D39" s="204"/>
      <c r="E39" s="204"/>
      <c r="F39" s="204"/>
      <c r="G39" s="204"/>
      <c r="H39" s="204"/>
      <c r="I39" s="194"/>
    </row>
    <row r="40" spans="1:9" x14ac:dyDescent="0.25">
      <c r="A40" s="194"/>
      <c r="B40" s="213"/>
      <c r="C40" s="213"/>
      <c r="D40" s="204"/>
      <c r="E40" s="204"/>
      <c r="F40" s="204"/>
      <c r="G40" s="204"/>
      <c r="H40" s="204"/>
      <c r="I40" s="194"/>
    </row>
    <row r="41" spans="1:9" x14ac:dyDescent="0.25">
      <c r="A41" s="194"/>
      <c r="B41" s="204"/>
      <c r="C41" s="204"/>
      <c r="D41" s="204"/>
      <c r="E41" s="204"/>
      <c r="F41" s="204"/>
      <c r="G41" s="204"/>
      <c r="H41" s="204"/>
      <c r="I41" s="194"/>
    </row>
    <row r="42" spans="1:9" x14ac:dyDescent="0.25">
      <c r="A42" s="194"/>
      <c r="B42" s="213"/>
      <c r="C42" s="213"/>
      <c r="D42" s="204"/>
      <c r="E42" s="204"/>
      <c r="F42" s="204"/>
      <c r="G42" s="204"/>
      <c r="H42" s="204"/>
      <c r="I42" s="194"/>
    </row>
    <row r="43" spans="1:9" x14ac:dyDescent="0.25">
      <c r="A43" s="194"/>
      <c r="B43" s="204"/>
      <c r="C43" s="204"/>
      <c r="D43" s="204"/>
      <c r="E43" s="204"/>
      <c r="F43" s="204"/>
      <c r="G43" s="204"/>
      <c r="H43" s="204"/>
      <c r="I43" s="194"/>
    </row>
    <row r="44" spans="1:9" x14ac:dyDescent="0.25">
      <c r="A44" s="194"/>
      <c r="B44" s="213"/>
      <c r="C44" s="213"/>
      <c r="D44" s="204"/>
      <c r="E44" s="204"/>
      <c r="F44" s="204"/>
      <c r="G44" s="204"/>
      <c r="H44" s="204"/>
      <c r="I44" s="194"/>
    </row>
    <row r="45" spans="1:9" x14ac:dyDescent="0.25">
      <c r="A45" s="194"/>
      <c r="B45" s="204"/>
      <c r="C45" s="204"/>
      <c r="D45" s="204"/>
      <c r="E45" s="204"/>
      <c r="F45" s="204"/>
      <c r="G45" s="204"/>
      <c r="H45" s="204"/>
      <c r="I45" s="194"/>
    </row>
    <row r="46" spans="1:9" x14ac:dyDescent="0.25">
      <c r="A46" s="194"/>
      <c r="B46" s="213"/>
      <c r="C46" s="213"/>
      <c r="D46" s="204"/>
      <c r="E46" s="204"/>
      <c r="F46" s="204"/>
      <c r="G46" s="204"/>
      <c r="H46" s="204"/>
      <c r="I46" s="194"/>
    </row>
    <row r="47" spans="1:9" x14ac:dyDescent="0.25">
      <c r="A47" s="194"/>
      <c r="B47" s="204"/>
      <c r="C47" s="204"/>
      <c r="D47" s="204"/>
      <c r="E47" s="204"/>
      <c r="F47" s="204"/>
      <c r="G47" s="204"/>
      <c r="H47" s="204"/>
      <c r="I47" s="194"/>
    </row>
    <row r="48" spans="1:9" x14ac:dyDescent="0.25">
      <c r="A48" s="194"/>
      <c r="B48" s="213"/>
      <c r="C48" s="213"/>
      <c r="D48" s="204"/>
      <c r="E48" s="204"/>
      <c r="F48" s="204"/>
      <c r="G48" s="204"/>
      <c r="H48" s="204"/>
      <c r="I48" s="194"/>
    </row>
    <row r="49" spans="1:9" x14ac:dyDescent="0.25">
      <c r="A49" s="194"/>
      <c r="B49" s="204"/>
      <c r="C49" s="204"/>
      <c r="D49" s="204"/>
      <c r="E49" s="204"/>
      <c r="F49" s="204"/>
      <c r="G49" s="204"/>
      <c r="H49" s="204"/>
      <c r="I49" s="194"/>
    </row>
    <row r="50" spans="1:9" x14ac:dyDescent="0.25">
      <c r="A50" s="194"/>
      <c r="B50" s="213"/>
      <c r="C50" s="213"/>
      <c r="D50" s="204"/>
      <c r="E50" s="204"/>
      <c r="F50" s="204"/>
      <c r="G50" s="204"/>
      <c r="H50" s="204"/>
      <c r="I50" s="194"/>
    </row>
    <row r="51" spans="1:9" x14ac:dyDescent="0.25">
      <c r="A51" s="194"/>
      <c r="B51" s="204"/>
      <c r="C51" s="204"/>
      <c r="D51" s="204"/>
      <c r="E51" s="204"/>
      <c r="F51" s="204"/>
      <c r="G51" s="204"/>
      <c r="H51" s="204"/>
      <c r="I51" s="194"/>
    </row>
    <row r="52" spans="1:9" x14ac:dyDescent="0.25">
      <c r="A52" s="194"/>
      <c r="B52" s="213"/>
      <c r="C52" s="213"/>
      <c r="D52" s="204"/>
      <c r="E52" s="204"/>
      <c r="F52" s="204"/>
      <c r="G52" s="204"/>
      <c r="H52" s="204"/>
      <c r="I52" s="194"/>
    </row>
    <row r="53" spans="1:9" x14ac:dyDescent="0.25">
      <c r="A53" s="194"/>
      <c r="B53" s="204"/>
      <c r="C53" s="204"/>
      <c r="D53" s="204"/>
      <c r="E53" s="204"/>
      <c r="F53" s="204"/>
      <c r="G53" s="204"/>
      <c r="H53" s="204"/>
      <c r="I53" s="194"/>
    </row>
    <row r="54" spans="1:9" x14ac:dyDescent="0.25">
      <c r="A54" s="194"/>
      <c r="B54" s="213"/>
      <c r="C54" s="213"/>
      <c r="D54" s="204"/>
      <c r="E54" s="204"/>
      <c r="F54" s="204"/>
      <c r="G54" s="204"/>
      <c r="H54" s="204"/>
      <c r="I54" s="194"/>
    </row>
    <row r="55" spans="1:9" x14ac:dyDescent="0.25">
      <c r="A55" s="194"/>
      <c r="B55" s="204"/>
      <c r="C55" s="204"/>
      <c r="D55" s="204"/>
      <c r="E55" s="204"/>
      <c r="F55" s="204"/>
      <c r="G55" s="204"/>
      <c r="H55" s="204"/>
      <c r="I55" s="194"/>
    </row>
    <row r="56" spans="1:9" x14ac:dyDescent="0.25">
      <c r="A56" s="194"/>
      <c r="B56" s="213"/>
      <c r="C56" s="213"/>
      <c r="D56" s="204"/>
      <c r="E56" s="204"/>
      <c r="F56" s="204"/>
      <c r="G56" s="204"/>
      <c r="H56" s="204"/>
      <c r="I56" s="194"/>
    </row>
    <row r="57" spans="1:9" x14ac:dyDescent="0.25">
      <c r="A57" s="194"/>
      <c r="B57" s="204"/>
      <c r="C57" s="204"/>
      <c r="D57" s="204"/>
      <c r="E57" s="204"/>
      <c r="F57" s="204"/>
      <c r="G57" s="204"/>
      <c r="H57" s="204"/>
      <c r="I57" s="194"/>
    </row>
    <row r="58" spans="1:9" x14ac:dyDescent="0.25">
      <c r="A58" s="194"/>
      <c r="B58" s="213"/>
      <c r="C58" s="213"/>
      <c r="D58" s="204"/>
      <c r="E58" s="204"/>
      <c r="F58" s="204"/>
      <c r="G58" s="204"/>
      <c r="H58" s="204"/>
      <c r="I58" s="194"/>
    </row>
    <row r="59" spans="1:9" x14ac:dyDescent="0.25">
      <c r="A59" s="194"/>
      <c r="B59" s="204"/>
      <c r="C59" s="204"/>
      <c r="D59" s="204"/>
      <c r="E59" s="204"/>
      <c r="F59" s="204"/>
      <c r="G59" s="204"/>
      <c r="H59" s="204"/>
      <c r="I59" s="194"/>
    </row>
    <row r="60" spans="1:9" x14ac:dyDescent="0.25">
      <c r="A60" s="194"/>
      <c r="B60" s="213"/>
      <c r="C60" s="213"/>
      <c r="D60" s="204"/>
      <c r="E60" s="204"/>
      <c r="F60" s="204"/>
      <c r="G60" s="204"/>
      <c r="H60" s="204"/>
      <c r="I60" s="194"/>
    </row>
    <row r="61" spans="1:9" x14ac:dyDescent="0.25">
      <c r="A61" s="194"/>
      <c r="B61" s="204"/>
      <c r="C61" s="204"/>
      <c r="D61" s="204"/>
      <c r="E61" s="204"/>
      <c r="F61" s="204"/>
      <c r="G61" s="204"/>
      <c r="H61" s="204"/>
      <c r="I61" s="194"/>
    </row>
    <row r="62" spans="1:9" x14ac:dyDescent="0.25">
      <c r="A62" s="194"/>
      <c r="B62" s="213"/>
      <c r="C62" s="213"/>
      <c r="D62" s="204"/>
      <c r="E62" s="204"/>
      <c r="F62" s="204"/>
      <c r="G62" s="204"/>
      <c r="H62" s="204"/>
      <c r="I62" s="194"/>
    </row>
    <row r="63" spans="1:9" x14ac:dyDescent="0.25">
      <c r="A63" s="194"/>
      <c r="B63" s="204"/>
      <c r="C63" s="204"/>
      <c r="D63" s="204"/>
      <c r="E63" s="204"/>
      <c r="F63" s="204"/>
      <c r="G63" s="204"/>
      <c r="H63" s="204"/>
      <c r="I63" s="194"/>
    </row>
    <row r="64" spans="1:9" x14ac:dyDescent="0.25">
      <c r="A64" s="194"/>
      <c r="B64" s="213"/>
      <c r="C64" s="213"/>
      <c r="D64" s="204"/>
      <c r="E64" s="204"/>
      <c r="F64" s="204"/>
      <c r="G64" s="204"/>
      <c r="H64" s="204"/>
      <c r="I64" s="194"/>
    </row>
    <row r="65" spans="1:9" x14ac:dyDescent="0.25">
      <c r="A65" s="194"/>
      <c r="B65" s="204"/>
      <c r="C65" s="204"/>
      <c r="D65" s="204"/>
      <c r="E65" s="204"/>
      <c r="F65" s="204"/>
      <c r="G65" s="204"/>
      <c r="H65" s="204"/>
      <c r="I65" s="194"/>
    </row>
    <row r="66" spans="1:9" x14ac:dyDescent="0.25">
      <c r="A66" s="194"/>
      <c r="B66" s="213"/>
      <c r="C66" s="213"/>
      <c r="D66" s="204"/>
      <c r="E66" s="204"/>
      <c r="F66" s="204"/>
      <c r="G66" s="204"/>
      <c r="H66" s="204"/>
      <c r="I66" s="194"/>
    </row>
    <row r="67" spans="1:9" x14ac:dyDescent="0.25">
      <c r="A67" s="194"/>
      <c r="B67" s="204"/>
      <c r="C67" s="204"/>
      <c r="D67" s="204"/>
      <c r="E67" s="204"/>
      <c r="F67" s="204"/>
      <c r="G67" s="204"/>
      <c r="H67" s="204"/>
      <c r="I67" s="194"/>
    </row>
    <row r="68" spans="1:9" x14ac:dyDescent="0.25">
      <c r="A68" s="194"/>
      <c r="B68" s="213"/>
      <c r="C68" s="213"/>
      <c r="D68" s="204"/>
      <c r="E68" s="204"/>
      <c r="F68" s="204"/>
      <c r="G68" s="204"/>
      <c r="H68" s="204"/>
      <c r="I68" s="194"/>
    </row>
    <row r="69" spans="1:9" x14ac:dyDescent="0.25">
      <c r="A69" s="194"/>
      <c r="B69" s="204"/>
      <c r="C69" s="204"/>
      <c r="D69" s="204"/>
      <c r="E69" s="204"/>
      <c r="F69" s="204"/>
      <c r="G69" s="204"/>
      <c r="H69" s="204"/>
      <c r="I69" s="194"/>
    </row>
    <row r="70" spans="1:9" x14ac:dyDescent="0.25">
      <c r="A70" s="194"/>
      <c r="B70" s="213"/>
      <c r="C70" s="213"/>
      <c r="D70" s="204"/>
      <c r="E70" s="204"/>
      <c r="F70" s="204"/>
      <c r="G70" s="204"/>
      <c r="H70" s="204"/>
      <c r="I70" s="194"/>
    </row>
    <row r="71" spans="1:9" x14ac:dyDescent="0.25">
      <c r="A71" s="194"/>
      <c r="B71" s="204"/>
      <c r="C71" s="204"/>
      <c r="D71" s="204"/>
      <c r="E71" s="204"/>
      <c r="F71" s="204"/>
      <c r="G71" s="204"/>
      <c r="H71" s="204"/>
      <c r="I71" s="194"/>
    </row>
    <row r="72" spans="1:9" x14ac:dyDescent="0.25">
      <c r="A72" s="194"/>
      <c r="B72" s="213"/>
      <c r="C72" s="213"/>
      <c r="D72" s="204"/>
      <c r="E72" s="204"/>
      <c r="F72" s="204"/>
      <c r="G72" s="204"/>
      <c r="H72" s="204"/>
      <c r="I72" s="194"/>
    </row>
    <row r="73" spans="1:9" x14ac:dyDescent="0.25">
      <c r="A73" s="194"/>
      <c r="B73" s="204"/>
      <c r="C73" s="204"/>
      <c r="D73" s="204"/>
      <c r="E73" s="204"/>
      <c r="F73" s="204"/>
      <c r="G73" s="204"/>
      <c r="H73" s="204"/>
      <c r="I73" s="194"/>
    </row>
    <row r="74" spans="1:9" x14ac:dyDescent="0.25">
      <c r="A74" s="194"/>
      <c r="B74" s="213"/>
      <c r="C74" s="213"/>
      <c r="D74" s="204"/>
      <c r="E74" s="204"/>
      <c r="F74" s="204"/>
      <c r="G74" s="204"/>
      <c r="H74" s="204"/>
      <c r="I74" s="194"/>
    </row>
    <row r="75" spans="1:9" x14ac:dyDescent="0.25">
      <c r="A75" s="194"/>
      <c r="B75" s="204"/>
      <c r="C75" s="204"/>
      <c r="D75" s="204"/>
      <c r="E75" s="204"/>
      <c r="F75" s="204"/>
      <c r="G75" s="204"/>
      <c r="H75" s="204"/>
      <c r="I75" s="194"/>
    </row>
    <row r="76" spans="1:9" x14ac:dyDescent="0.25">
      <c r="A76" s="194"/>
      <c r="B76" s="213"/>
      <c r="C76" s="213"/>
      <c r="D76" s="204"/>
      <c r="E76" s="204"/>
      <c r="F76" s="204"/>
      <c r="G76" s="204"/>
      <c r="H76" s="204"/>
      <c r="I76" s="194"/>
    </row>
    <row r="77" spans="1:9" x14ac:dyDescent="0.25">
      <c r="A77" s="194"/>
      <c r="B77" s="204"/>
      <c r="C77" s="204"/>
      <c r="D77" s="204"/>
      <c r="E77" s="204"/>
      <c r="F77" s="204"/>
      <c r="G77" s="204"/>
      <c r="H77" s="204"/>
      <c r="I77" s="194"/>
    </row>
    <row r="78" spans="1:9" x14ac:dyDescent="0.25">
      <c r="A78" s="194"/>
      <c r="B78" s="213"/>
      <c r="C78" s="213"/>
      <c r="D78" s="204"/>
      <c r="E78" s="204"/>
      <c r="F78" s="204"/>
      <c r="G78" s="204"/>
      <c r="H78" s="204"/>
      <c r="I78" s="194"/>
    </row>
    <row r="79" spans="1:9" x14ac:dyDescent="0.25">
      <c r="A79" s="194"/>
      <c r="B79" s="204"/>
      <c r="C79" s="204"/>
      <c r="D79" s="204"/>
      <c r="E79" s="204"/>
      <c r="F79" s="204"/>
      <c r="G79" s="204"/>
      <c r="H79" s="204"/>
      <c r="I79" s="194"/>
    </row>
    <row r="80" spans="1:9" x14ac:dyDescent="0.25">
      <c r="A80" s="194"/>
      <c r="B80" s="213"/>
      <c r="C80" s="213"/>
      <c r="D80" s="204"/>
      <c r="E80" s="204"/>
      <c r="F80" s="204"/>
      <c r="G80" s="204"/>
      <c r="H80" s="204"/>
      <c r="I80" s="194"/>
    </row>
    <row r="81" spans="1:9" x14ac:dyDescent="0.25">
      <c r="A81" s="194"/>
      <c r="B81" s="204"/>
      <c r="C81" s="204"/>
      <c r="D81" s="204"/>
      <c r="E81" s="204"/>
      <c r="F81" s="204"/>
      <c r="G81" s="204"/>
      <c r="H81" s="204"/>
      <c r="I81" s="194"/>
    </row>
    <row r="82" spans="1:9" x14ac:dyDescent="0.25">
      <c r="A82" s="194"/>
      <c r="B82" s="213"/>
      <c r="C82" s="213"/>
      <c r="D82" s="204"/>
      <c r="E82" s="204"/>
      <c r="F82" s="204"/>
      <c r="G82" s="204"/>
      <c r="H82" s="204"/>
      <c r="I82" s="194"/>
    </row>
    <row r="83" spans="1:9" x14ac:dyDescent="0.25">
      <c r="A83" s="194"/>
      <c r="B83" s="204"/>
      <c r="C83" s="204"/>
      <c r="D83" s="204"/>
      <c r="E83" s="204"/>
      <c r="F83" s="204"/>
      <c r="G83" s="204"/>
      <c r="H83" s="204"/>
      <c r="I83" s="194"/>
    </row>
    <row r="84" spans="1:9" x14ac:dyDescent="0.25">
      <c r="A84" s="194"/>
      <c r="B84" s="213"/>
      <c r="C84" s="213"/>
      <c r="D84" s="204"/>
      <c r="E84" s="204"/>
      <c r="F84" s="204"/>
      <c r="G84" s="204"/>
      <c r="H84" s="204"/>
      <c r="I84" s="194"/>
    </row>
    <row r="85" spans="1:9" x14ac:dyDescent="0.25">
      <c r="A85" s="194"/>
      <c r="B85" s="204"/>
      <c r="C85" s="204"/>
      <c r="D85" s="204"/>
      <c r="E85" s="204"/>
      <c r="F85" s="204"/>
      <c r="G85" s="204"/>
      <c r="H85" s="204"/>
      <c r="I85" s="194"/>
    </row>
    <row r="86" spans="1:9" x14ac:dyDescent="0.25">
      <c r="A86" s="194"/>
      <c r="B86" s="213"/>
      <c r="C86" s="213"/>
      <c r="D86" s="204"/>
      <c r="E86" s="204"/>
      <c r="F86" s="204"/>
      <c r="G86" s="204"/>
      <c r="H86" s="204"/>
      <c r="I86" s="194"/>
    </row>
    <row r="87" spans="1:9" x14ac:dyDescent="0.25">
      <c r="A87" s="194"/>
      <c r="B87" s="204"/>
      <c r="C87" s="204"/>
      <c r="D87" s="204"/>
      <c r="E87" s="204"/>
      <c r="F87" s="204"/>
      <c r="G87" s="204"/>
      <c r="H87" s="204"/>
      <c r="I87" s="194"/>
    </row>
    <row r="88" spans="1:9" x14ac:dyDescent="0.25">
      <c r="A88" s="194"/>
      <c r="B88" s="213"/>
      <c r="C88" s="213"/>
      <c r="D88" s="204"/>
      <c r="E88" s="204"/>
      <c r="F88" s="204"/>
      <c r="G88" s="204"/>
      <c r="H88" s="204"/>
      <c r="I88" s="194"/>
    </row>
    <row r="89" spans="1:9" x14ac:dyDescent="0.25">
      <c r="A89" s="194"/>
      <c r="B89" s="204"/>
      <c r="C89" s="204"/>
      <c r="D89" s="204"/>
      <c r="E89" s="204"/>
      <c r="F89" s="204"/>
      <c r="G89" s="204"/>
      <c r="H89" s="204"/>
      <c r="I89" s="194"/>
    </row>
    <row r="90" spans="1:9" x14ac:dyDescent="0.25">
      <c r="A90" s="194"/>
      <c r="B90" s="213"/>
      <c r="C90" s="213"/>
      <c r="D90" s="204"/>
      <c r="E90" s="204"/>
      <c r="F90" s="204"/>
      <c r="G90" s="204"/>
      <c r="H90" s="204"/>
      <c r="I90" s="194"/>
    </row>
    <row r="91" spans="1:9" x14ac:dyDescent="0.25">
      <c r="A91" s="194"/>
      <c r="B91" s="204"/>
      <c r="C91" s="204"/>
      <c r="D91" s="204"/>
      <c r="E91" s="204"/>
      <c r="F91" s="204"/>
      <c r="G91" s="204"/>
      <c r="H91" s="204"/>
      <c r="I91" s="194"/>
    </row>
    <row r="92" spans="1:9" x14ac:dyDescent="0.25">
      <c r="A92" s="194"/>
      <c r="B92" s="213"/>
      <c r="C92" s="213"/>
      <c r="D92" s="204"/>
      <c r="E92" s="204"/>
      <c r="F92" s="204"/>
      <c r="G92" s="204"/>
      <c r="H92" s="204"/>
      <c r="I92" s="194"/>
    </row>
    <row r="93" spans="1:9" x14ac:dyDescent="0.25">
      <c r="A93" s="194"/>
      <c r="B93" s="204"/>
      <c r="C93" s="204"/>
      <c r="D93" s="204"/>
      <c r="E93" s="204"/>
      <c r="F93" s="204"/>
      <c r="G93" s="204"/>
      <c r="H93" s="204"/>
      <c r="I93" s="194"/>
    </row>
    <row r="94" spans="1:9" x14ac:dyDescent="0.25">
      <c r="A94" s="194"/>
      <c r="B94" s="213"/>
      <c r="C94" s="213"/>
      <c r="D94" s="204"/>
      <c r="E94" s="204"/>
      <c r="F94" s="204"/>
      <c r="G94" s="204"/>
      <c r="H94" s="204"/>
      <c r="I94" s="194"/>
    </row>
    <row r="95" spans="1:9" x14ac:dyDescent="0.25">
      <c r="A95" s="194"/>
      <c r="B95" s="204"/>
      <c r="C95" s="204"/>
      <c r="D95" s="204"/>
      <c r="E95" s="204"/>
      <c r="F95" s="204"/>
      <c r="G95" s="204"/>
      <c r="H95" s="204"/>
      <c r="I95" s="194"/>
    </row>
    <row r="96" spans="1:9" x14ac:dyDescent="0.25">
      <c r="A96" s="194"/>
      <c r="B96" s="213"/>
      <c r="C96" s="213"/>
      <c r="D96" s="204"/>
      <c r="E96" s="204"/>
      <c r="F96" s="204"/>
      <c r="G96" s="204"/>
      <c r="H96" s="204"/>
      <c r="I96" s="194"/>
    </row>
    <row r="97" spans="1:9" x14ac:dyDescent="0.25">
      <c r="A97" s="194"/>
      <c r="B97" s="204"/>
      <c r="C97" s="204"/>
      <c r="D97" s="204"/>
      <c r="E97" s="204"/>
      <c r="F97" s="204"/>
      <c r="G97" s="204"/>
      <c r="H97" s="204"/>
      <c r="I97" s="194"/>
    </row>
    <row r="98" spans="1:9" x14ac:dyDescent="0.25">
      <c r="A98" s="194"/>
      <c r="B98" s="213"/>
      <c r="C98" s="213"/>
      <c r="D98" s="204"/>
      <c r="E98" s="204"/>
      <c r="F98" s="204"/>
      <c r="G98" s="204"/>
      <c r="H98" s="204"/>
      <c r="I98" s="194"/>
    </row>
    <row r="99" spans="1:9" x14ac:dyDescent="0.25">
      <c r="A99" s="194"/>
      <c r="B99" s="204"/>
      <c r="C99" s="204"/>
      <c r="D99" s="204"/>
      <c r="E99" s="204"/>
      <c r="F99" s="204"/>
      <c r="G99" s="204"/>
      <c r="H99" s="204"/>
      <c r="I99" s="194"/>
    </row>
    <row r="100" spans="1:9" x14ac:dyDescent="0.25">
      <c r="A100" s="194"/>
      <c r="B100" s="213"/>
      <c r="C100" s="213"/>
      <c r="D100" s="204"/>
      <c r="E100" s="204"/>
      <c r="F100" s="204"/>
      <c r="G100" s="204"/>
      <c r="H100" s="204"/>
      <c r="I100" s="194"/>
    </row>
    <row r="101" spans="1:9" x14ac:dyDescent="0.25">
      <c r="A101" s="194"/>
      <c r="B101" s="214"/>
      <c r="C101" s="214"/>
      <c r="D101" s="214"/>
      <c r="E101" s="214"/>
      <c r="F101" s="214"/>
      <c r="G101" s="214"/>
      <c r="H101" s="214"/>
      <c r="I101" s="194"/>
    </row>
    <row r="102" spans="1:9" x14ac:dyDescent="0.25">
      <c r="A102" s="194"/>
      <c r="B102" s="215"/>
      <c r="C102" s="215"/>
      <c r="D102" s="214"/>
      <c r="E102" s="214"/>
      <c r="F102" s="214"/>
      <c r="G102" s="214"/>
      <c r="H102" s="214"/>
      <c r="I102" s="194"/>
    </row>
    <row r="103" spans="1:9" x14ac:dyDescent="0.25">
      <c r="A103" s="194"/>
      <c r="B103" s="214"/>
      <c r="C103" s="214"/>
      <c r="D103" s="214"/>
      <c r="E103" s="214"/>
      <c r="F103" s="214"/>
      <c r="G103" s="214"/>
      <c r="H103" s="214"/>
      <c r="I103" s="194"/>
    </row>
  </sheetData>
  <mergeCells count="15">
    <mergeCell ref="B31:C31"/>
    <mergeCell ref="B17:C17"/>
    <mergeCell ref="B9:C9"/>
    <mergeCell ref="B2:D2"/>
    <mergeCell ref="B25:C25"/>
    <mergeCell ref="B29:C29"/>
    <mergeCell ref="B5:C5"/>
    <mergeCell ref="B19:C19"/>
    <mergeCell ref="B27:C27"/>
    <mergeCell ref="B23:C23"/>
    <mergeCell ref="B13:C13"/>
    <mergeCell ref="B21:C21"/>
    <mergeCell ref="B15:C15"/>
    <mergeCell ref="B7:C7"/>
    <mergeCell ref="B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📋 Estimation Dashboard</vt:lpstr>
      <vt:lpstr>⚙️ Config</vt:lpstr>
      <vt:lpstr>📊 PERT Estimation</vt:lpstr>
      <vt:lpstr>🔺 Three-Point</vt:lpstr>
      <vt:lpstr>🃏 Story Points</vt:lpstr>
      <vt:lpstr>🔍 Analogy</vt:lpstr>
      <vt:lpstr>📐 UCP</vt:lpstr>
      <vt:lpstr>📝 Test Planning</vt:lpstr>
      <vt:lpstr>💰 Budget Planner</vt:lpstr>
      <vt:lpstr>📅 Sprint Resource Plan</vt:lpstr>
      <vt:lpstr>📖 How to Use</vt:lpstr>
      <vt:lpstr>'📋 Estimation Dashboard'!Print_Area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Vishvambruth Javagal</cp:lastModifiedBy>
  <dcterms:created xsi:type="dcterms:W3CDTF">2026-05-25T10:55:21Z</dcterms:created>
  <dcterms:modified xsi:type="dcterms:W3CDTF">2026-05-25T18:27:40Z</dcterms:modified>
</cp:coreProperties>
</file>