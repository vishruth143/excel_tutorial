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Introduction" sheetId="1" state="visible" r:id="rId1"/>
    <sheet xmlns:r="http://schemas.openxmlformats.org/officeDocument/2006/relationships" name="📐 Excel Basics" sheetId="2" state="visible" r:id="rId2"/>
    <sheet xmlns:r="http://schemas.openxmlformats.org/officeDocument/2006/relationships" name="🏢 D1 - HR Overview" sheetId="3" state="visible" r:id="rId3"/>
    <sheet xmlns:r="http://schemas.openxmlformats.org/officeDocument/2006/relationships" name="💰 D2 - Salary" sheetId="4" state="visible" r:id="rId4"/>
    <sheet xmlns:r="http://schemas.openxmlformats.org/officeDocument/2006/relationships" name="👥 D3 - Demographics" sheetId="5" state="visible" r:id="rId5"/>
    <sheet xmlns:r="http://schemas.openxmlformats.org/officeDocument/2006/relationships" name="💼 D4 - Job Title" sheetId="6" state="visible" r:id="rId6"/>
    <sheet xmlns:r="http://schemas.openxmlformats.org/officeDocument/2006/relationships" name="📅 D5 - Tenure" sheetId="7" state="visible" r:id="rId7"/>
    <sheet xmlns:r="http://schemas.openxmlformats.org/officeDocument/2006/relationships" name="🧑‍💼 D6 - Employee" sheetId="8" state="visible" r:id="rId8"/>
    <sheet xmlns:r="http://schemas.openxmlformats.org/officeDocument/2006/relationships" name="🌟 Pro Tips &amp; Tri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555555"/>
      <sz val="12"/>
    </font>
    <font>
      <b val="1"/>
      <color rgb="00FFFFFF"/>
    </font>
    <font>
      <name val="Calibri"/>
      <b val="1"/>
      <color rgb="002E86C1"/>
      <sz val="11"/>
    </font>
    <font>
      <name val="Calibri"/>
      <color rgb="00333333"/>
      <sz val="11"/>
    </font>
    <font>
      <name val="Calibri"/>
      <b val="1"/>
      <color rgb="001E8449"/>
      <sz val="11"/>
    </font>
    <font>
      <name val="Calibri"/>
      <b val="1"/>
      <color rgb="007D3C98"/>
      <sz val="11"/>
    </font>
    <font>
      <name val="Calibri"/>
      <b val="1"/>
      <color rgb="00D35400"/>
      <sz val="11"/>
    </font>
    <font>
      <name val="Calibri"/>
      <b val="1"/>
      <color rgb="00117A65"/>
      <sz val="11"/>
    </font>
    <font>
      <name val="Calibri"/>
      <b val="1"/>
      <color rgb="00FFFFFF"/>
      <sz val="14"/>
    </font>
    <font>
      <name val="Calibri"/>
      <b val="1"/>
      <color rgb="002E86C1"/>
      <sz val="10"/>
    </font>
    <font>
      <name val="Calibri"/>
      <sz val="10"/>
    </font>
    <font>
      <name val="Calibri"/>
      <b val="1"/>
      <color rgb="00FFFFFF"/>
      <sz val="16"/>
    </font>
    <font>
      <i val="1"/>
      <color rgb="00666666"/>
    </font>
    <font>
      <name val="Calibri"/>
      <b val="1"/>
      <color rgb="00FFFFFF"/>
      <sz val="12"/>
    </font>
    <font>
      <b val="1"/>
      <color rgb="002E86C1"/>
    </font>
    <font>
      <name val="Consolas"/>
      <sz val="10"/>
    </font>
    <font>
      <name val="Consolas"/>
      <color rgb="008B0000"/>
      <sz val="10"/>
    </font>
    <font>
      <sz val="10"/>
    </font>
    <font>
      <name val="Consolas"/>
      <sz val="9"/>
    </font>
    <font>
      <name val="Consolas"/>
      <color rgb="008B0000"/>
      <sz val="9"/>
    </font>
    <font>
      <b val="1"/>
      <color rgb="00D35400"/>
    </font>
    <font>
      <name val="Calibri"/>
      <b val="1"/>
      <color rgb="00FFFFFF"/>
      <sz val="15"/>
    </font>
    <font>
      <i val="1"/>
      <color rgb="00555555"/>
      <sz val="11"/>
    </font>
    <font>
      <b val="1"/>
      <color rgb="00FFFFFF"/>
      <sz val="11"/>
    </font>
    <font>
      <b val="1"/>
      <sz val="11"/>
    </font>
    <font>
      <i val="1"/>
      <color rgb="001E8449"/>
      <sz val="10"/>
    </font>
    <font>
      <name val="Calibri"/>
      <i val="1"/>
      <color rgb="007D6608"/>
      <sz val="10"/>
    </font>
    <font>
      <name val="Consolas"/>
      <b val="1"/>
      <color rgb="00117A65"/>
      <sz val="10"/>
    </font>
    <font>
      <name val="Consolas"/>
      <b val="1"/>
      <color rgb="002E86C1"/>
      <sz val="10"/>
    </font>
    <font>
      <name val="Consolas"/>
      <b val="1"/>
      <color rgb="00D35400"/>
      <sz val="10"/>
    </font>
    <font>
      <name val="Consolas"/>
      <b val="1"/>
      <color rgb="007D3C98"/>
      <sz val="10"/>
    </font>
    <font>
      <name val="Consolas"/>
      <b val="1"/>
      <color rgb="001E8449"/>
      <sz val="10"/>
    </font>
    <font>
      <b val="1"/>
      <color rgb="00E67E22"/>
      <sz val="10"/>
    </font>
    <font>
      <name val="Calibri"/>
      <b val="1"/>
      <color rgb="002980B9"/>
      <sz val="10"/>
    </font>
    <font>
      <name val="Calibri"/>
      <b val="1"/>
      <color rgb="00E67E22"/>
      <sz val="11"/>
    </font>
  </fonts>
  <fills count="25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E8DAEF"/>
      </patternFill>
    </fill>
    <fill>
      <patternFill patternType="solid">
        <fgColor rgb="00FDEBD0"/>
      </patternFill>
    </fill>
    <fill>
      <patternFill patternType="solid">
        <fgColor rgb="00D1F2EB"/>
      </patternFill>
    </fill>
    <fill>
      <patternFill patternType="solid">
        <fgColor rgb="002E86C1"/>
      </patternFill>
    </fill>
    <fill>
      <patternFill patternType="solid">
        <fgColor rgb="00FFFFFF"/>
      </patternFill>
    </fill>
    <fill>
      <patternFill patternType="solid">
        <fgColor rgb="00117A65"/>
      </patternFill>
    </fill>
    <fill>
      <patternFill patternType="solid">
        <fgColor rgb="00D35400"/>
      </patternFill>
    </fill>
    <fill>
      <patternFill patternType="solid">
        <fgColor rgb="002E4057"/>
      </patternFill>
    </fill>
    <fill>
      <patternFill patternType="solid">
        <fgColor rgb="00F9E79F"/>
      </patternFill>
    </fill>
    <fill>
      <patternFill patternType="solid">
        <fgColor rgb="001B4F72"/>
      </patternFill>
    </fill>
    <fill>
      <patternFill patternType="solid">
        <fgColor rgb="00FEF9E7"/>
      </patternFill>
    </fill>
    <fill>
      <patternFill patternType="solid">
        <fgColor rgb="007D3C98"/>
      </patternFill>
    </fill>
    <fill>
      <patternFill patternType="solid">
        <fgColor rgb="001E3A5F"/>
      </patternFill>
    </fill>
    <fill>
      <patternFill patternType="solid">
        <fgColor rgb="001E8449"/>
      </patternFill>
    </fill>
    <fill>
      <patternFill patternType="solid">
        <fgColor rgb="004A235A"/>
      </patternFill>
    </fill>
    <fill>
      <patternFill patternType="solid">
        <fgColor rgb="006E2F7C"/>
      </patternFill>
    </fill>
    <fill>
      <patternFill patternType="solid">
        <fgColor rgb="001C2833"/>
      </patternFill>
    </fill>
    <fill>
      <patternFill patternType="solid">
        <fgColor rgb="00E67E22"/>
      </patternFill>
    </fill>
    <fill>
      <patternFill patternType="solid">
        <fgColor rgb="002980B9"/>
      </patternFill>
    </fill>
    <fill>
      <patternFill patternType="solid">
        <fgColor rgb="00FEF5E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1" fillId="3" borderId="1" pivotButton="0" quotePrefix="0" xfId="0"/>
    <xf numFmtId="0" fontId="0" fillId="0" borderId="4" pivotButton="0" quotePrefix="0" xfId="0"/>
    <xf numFmtId="0" fontId="12" fillId="3" borderId="1" pivotButton="0" quotePrefix="0" xfId="0"/>
    <xf numFmtId="0" fontId="0" fillId="0" borderId="5" pivotButton="0" quotePrefix="0" xfId="0"/>
    <xf numFmtId="0" fontId="11" fillId="9" borderId="1" pivotButton="0" quotePrefix="0" xfId="0"/>
    <xf numFmtId="0" fontId="12" fillId="9" borderId="1" pivotButton="0" quotePrefix="0" xfId="0"/>
    <xf numFmtId="0" fontId="13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5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/>
    </xf>
    <xf numFmtId="0" fontId="16" fillId="3" borderId="1" applyAlignment="1" pivotButton="0" quotePrefix="0" xfId="0">
      <alignment vertical="center" wrapText="1"/>
    </xf>
    <xf numFmtId="0" fontId="17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vertical="center" wrapText="1"/>
    </xf>
    <xf numFmtId="0" fontId="19" fillId="3" borderId="1" applyAlignment="1" pivotButton="0" quotePrefix="0" xfId="0">
      <alignment vertical="center" wrapText="1"/>
    </xf>
    <xf numFmtId="0" fontId="16" fillId="9" borderId="1" applyAlignment="1" pivotButton="0" quotePrefix="0" xfId="0">
      <alignment vertical="center" wrapText="1"/>
    </xf>
    <xf numFmtId="0" fontId="17" fillId="9" borderId="1" applyAlignment="1" pivotButton="0" quotePrefix="0" xfId="0">
      <alignment vertical="center" wrapText="1"/>
    </xf>
    <xf numFmtId="0" fontId="18" fillId="9" borderId="1" applyAlignment="1" pivotButton="0" quotePrefix="0" xfId="0">
      <alignment vertical="center" wrapText="1"/>
    </xf>
    <xf numFmtId="0" fontId="19" fillId="9" borderId="1" applyAlignment="1" pivotButton="0" quotePrefix="0" xfId="0">
      <alignment vertical="center" wrapText="1"/>
    </xf>
    <xf numFmtId="0" fontId="15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/>
    </xf>
    <xf numFmtId="0" fontId="20" fillId="9" borderId="1" applyAlignment="1" pivotButton="0" quotePrefix="0" xfId="0">
      <alignment vertical="center" wrapText="1"/>
    </xf>
    <xf numFmtId="0" fontId="21" fillId="9" borderId="1" applyAlignment="1" pivotButton="0" quotePrefix="0" xfId="0">
      <alignment vertical="center" wrapText="1"/>
    </xf>
    <xf numFmtId="0" fontId="20" fillId="3" borderId="1" applyAlignment="1" pivotButton="0" quotePrefix="0" xfId="0">
      <alignment vertical="center" wrapText="1"/>
    </xf>
    <xf numFmtId="0" fontId="21" fillId="3" borderId="1" applyAlignment="1" pivotButton="0" quotePrefix="0" xfId="0">
      <alignment vertical="center" wrapText="1"/>
    </xf>
    <xf numFmtId="0" fontId="15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/>
    </xf>
    <xf numFmtId="0" fontId="22" fillId="9" borderId="1" applyAlignment="1" pivotButton="0" quotePrefix="0" xfId="0">
      <alignment vertical="center" wrapText="1"/>
    </xf>
    <xf numFmtId="0" fontId="22" fillId="3" borderId="1" applyAlignment="1" pivotButton="0" quotePrefix="0" xfId="0">
      <alignment vertical="center" wrapText="1"/>
    </xf>
    <xf numFmtId="0" fontId="23" fillId="12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15" fillId="12" borderId="0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/>
    </xf>
    <xf numFmtId="0" fontId="0" fillId="0" borderId="1" pivotButton="0" quotePrefix="0" xfId="0"/>
    <xf numFmtId="0" fontId="27" fillId="0" borderId="1" applyAlignment="1" pivotButton="0" quotePrefix="0" xfId="0">
      <alignment vertical="center" wrapText="1"/>
    </xf>
    <xf numFmtId="0" fontId="28" fillId="13" borderId="1" applyAlignment="1" pivotButton="0" quotePrefix="0" xfId="0">
      <alignment vertical="center" wrapText="1"/>
    </xf>
    <xf numFmtId="0" fontId="15" fillId="14" borderId="0" applyAlignment="1" pivotButton="0" quotePrefix="0" xfId="0">
      <alignment horizontal="center" vertical="center"/>
    </xf>
    <xf numFmtId="0" fontId="18" fillId="15" borderId="1" applyAlignment="1" pivotButton="0" quotePrefix="0" xfId="0">
      <alignment vertical="center" wrapText="1"/>
    </xf>
    <xf numFmtId="0" fontId="19" fillId="4" borderId="1" applyAlignment="1" pivotButton="0" quotePrefix="0" xfId="0">
      <alignment vertical="center" wrapText="1"/>
    </xf>
    <xf numFmtId="0" fontId="15" fillId="16" borderId="0" applyAlignment="1" pivotButton="0" quotePrefix="0" xfId="0">
      <alignment horizontal="center" vertical="center"/>
    </xf>
    <xf numFmtId="0" fontId="19" fillId="5" borderId="1" applyAlignment="1" pivotButton="0" quotePrefix="0" xfId="0">
      <alignment vertical="center" wrapText="1"/>
    </xf>
    <xf numFmtId="0" fontId="23" fillId="17" borderId="0" applyAlignment="1" pivotButton="0" quotePrefix="0" xfId="0">
      <alignment horizontal="center" vertical="center" wrapText="1"/>
    </xf>
    <xf numFmtId="0" fontId="15" fillId="17" borderId="0" applyAlignment="1" pivotButton="0" quotePrefix="0" xfId="0">
      <alignment horizontal="center" vertical="center"/>
    </xf>
    <xf numFmtId="0" fontId="15" fillId="18" borderId="0" applyAlignment="1" pivotButton="0" quotePrefix="0" xfId="0">
      <alignment horizontal="center" vertical="center"/>
    </xf>
    <xf numFmtId="0" fontId="19" fillId="6" borderId="1" applyAlignment="1" pivotButton="0" quotePrefix="0" xfId="0">
      <alignment vertical="center" wrapText="1"/>
    </xf>
    <xf numFmtId="0" fontId="23" fillId="19" borderId="0" applyAlignment="1" pivotButton="0" quotePrefix="0" xfId="0">
      <alignment horizontal="center" vertical="center" wrapText="1"/>
    </xf>
    <xf numFmtId="0" fontId="15" fillId="19" borderId="0" applyAlignment="1" pivotButton="0" quotePrefix="0" xfId="0">
      <alignment horizontal="center" vertical="center"/>
    </xf>
    <xf numFmtId="0" fontId="15" fillId="20" borderId="0" applyAlignment="1" pivotButton="0" quotePrefix="0" xfId="0">
      <alignment horizontal="center" vertical="center"/>
    </xf>
    <xf numFmtId="0" fontId="23" fillId="14" borderId="0" applyAlignment="1" pivotButton="0" quotePrefix="0" xfId="0">
      <alignment horizontal="center" vertical="center" wrapText="1"/>
    </xf>
    <xf numFmtId="0" fontId="23" fillId="18" borderId="0" applyAlignment="1" pivotButton="0" quotePrefix="0" xfId="0">
      <alignment horizontal="center" vertical="center" wrapText="1"/>
    </xf>
    <xf numFmtId="0" fontId="29" fillId="3" borderId="1" applyAlignment="1" pivotButton="0" quotePrefix="0" xfId="0">
      <alignment vertical="center"/>
    </xf>
    <xf numFmtId="0" fontId="29" fillId="9" borderId="1" applyAlignment="1" pivotButton="0" quotePrefix="0" xfId="0">
      <alignment vertical="center"/>
    </xf>
    <xf numFmtId="0" fontId="30" fillId="3" borderId="1" applyAlignment="1" pivotButton="0" quotePrefix="0" xfId="0">
      <alignment vertical="center"/>
    </xf>
    <xf numFmtId="0" fontId="30" fillId="9" borderId="1" applyAlignment="1" pivotButton="0" quotePrefix="0" xfId="0">
      <alignment vertical="center"/>
    </xf>
    <xf numFmtId="0" fontId="31" fillId="3" borderId="1" applyAlignment="1" pivotButton="0" quotePrefix="0" xfId="0">
      <alignment vertical="center"/>
    </xf>
    <xf numFmtId="0" fontId="31" fillId="9" borderId="1" applyAlignment="1" pivotButton="0" quotePrefix="0" xfId="0">
      <alignment vertical="center"/>
    </xf>
    <xf numFmtId="0" fontId="3" fillId="16" borderId="1" applyAlignment="1" pivotButton="0" quotePrefix="0" xfId="0">
      <alignment horizontal="center"/>
    </xf>
    <xf numFmtId="0" fontId="32" fillId="3" borderId="1" applyAlignment="1" pivotButton="0" quotePrefix="0" xfId="0">
      <alignment vertical="center"/>
    </xf>
    <xf numFmtId="0" fontId="32" fillId="9" borderId="1" applyAlignment="1" pivotButton="0" quotePrefix="0" xfId="0">
      <alignment vertical="center"/>
    </xf>
    <xf numFmtId="0" fontId="3" fillId="18" borderId="1" applyAlignment="1" pivotButton="0" quotePrefix="0" xfId="0">
      <alignment horizontal="center"/>
    </xf>
    <xf numFmtId="0" fontId="33" fillId="3" borderId="1" applyAlignment="1" pivotButton="0" quotePrefix="0" xfId="0">
      <alignment vertical="center"/>
    </xf>
    <xf numFmtId="0" fontId="33" fillId="9" borderId="1" applyAlignment="1" pivotButton="0" quotePrefix="0" xfId="0">
      <alignment vertical="center"/>
    </xf>
    <xf numFmtId="0" fontId="36" fillId="24" borderId="1" applyAlignment="1" pivotButton="0" quotePrefix="0" xfId="0">
      <alignment horizontal="center" vertical="center"/>
    </xf>
    <xf numFmtId="0" fontId="36" fillId="24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left" vertical="center"/>
    </xf>
    <xf numFmtId="0" fontId="23" fillId="21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22" borderId="0" applyAlignment="1" pivotButton="0" quotePrefix="0" xfId="0">
      <alignment horizontal="center" vertical="center"/>
    </xf>
    <xf numFmtId="0" fontId="34" fillId="15" borderId="1" pivotButton="0" quotePrefix="0" xfId="0"/>
    <xf numFmtId="0" fontId="19" fillId="15" borderId="1" pivotButton="0" quotePrefix="0" xfId="0"/>
    <xf numFmtId="0" fontId="15" fillId="21" borderId="0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/>
    </xf>
    <xf numFmtId="0" fontId="25" fillId="23" borderId="1" applyAlignment="1" pivotButton="0" quotePrefix="0" xfId="0">
      <alignment horizontal="center" vertical="center"/>
    </xf>
    <xf numFmtId="0" fontId="15" fillId="22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/>
    </xf>
    <xf numFmtId="0" fontId="35" fillId="9" borderId="1" applyAlignment="1" pivotButton="0" quotePrefix="0" xfId="0">
      <alignment vertical="center" wrapText="1"/>
    </xf>
    <xf numFmtId="0" fontId="3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3B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30" customWidth="1" min="4" max="4"/>
    <col width="20" customWidth="1" min="5" max="5"/>
  </cols>
  <sheetData>
    <row r="1" ht="65" customHeight="1">
      <c r="A1" s="1" t="inlineStr">
        <is>
          <t>📊  EXCEL DASHBOARDS — COMPLETE TUTORIAL</t>
        </is>
      </c>
    </row>
    <row r="2" ht="25" customHeight="1">
      <c r="A2" s="2" t="inlineStr">
        <is>
          <t>Learn to build 5 professional Excel dashboards from scratch using real employee data</t>
        </is>
      </c>
    </row>
    <row r="4" ht="28" customHeight="1">
      <c r="A4" s="3" t="inlineStr">
        <is>
          <t>#</t>
        </is>
      </c>
      <c r="B4" s="3" t="inlineStr">
        <is>
          <t>Dashboard Name</t>
        </is>
      </c>
      <c r="C4" s="3" t="inlineStr">
        <is>
          <t>What You'll Analyze</t>
        </is>
      </c>
      <c r="D4" s="3" t="inlineStr">
        <is>
          <t>Charts Used</t>
        </is>
      </c>
      <c r="E4" s="3" t="inlineStr"/>
    </row>
    <row r="5" ht="28" customHeight="1">
      <c r="A5" s="4" t="inlineStr">
        <is>
          <t>1</t>
        </is>
      </c>
      <c r="B5" s="5" t="inlineStr">
        <is>
          <t>HR Overview</t>
        </is>
      </c>
      <c r="C5" s="6" t="inlineStr">
        <is>
          <t>Gender, salary, education, top roles</t>
        </is>
      </c>
      <c r="D5" s="6" t="inlineStr">
        <is>
          <t>Pie + Bar + KPI Cards</t>
        </is>
      </c>
    </row>
    <row r="6" ht="28" customHeight="1">
      <c r="A6" s="7" t="inlineStr">
        <is>
          <t>2</t>
        </is>
      </c>
      <c r="B6" s="8" t="inlineStr">
        <is>
          <t>Salary Analysis</t>
        </is>
      </c>
      <c r="C6" s="9" t="inlineStr">
        <is>
          <t>Payroll, salary ranges, top earners</t>
        </is>
      </c>
      <c r="D6" s="9" t="inlineStr">
        <is>
          <t>Column + Bar + Table</t>
        </is>
      </c>
    </row>
    <row r="7" ht="28" customHeight="1">
      <c r="A7" s="10" t="inlineStr">
        <is>
          <t>3</t>
        </is>
      </c>
      <c r="B7" s="11" t="inlineStr">
        <is>
          <t>Demographics</t>
        </is>
      </c>
      <c r="C7" s="12" t="inlineStr">
        <is>
          <t>Age groups, gender split, education mix</t>
        </is>
      </c>
      <c r="D7" s="12" t="inlineStr">
        <is>
          <t>Stacked Bar + Pie</t>
        </is>
      </c>
    </row>
    <row r="8" ht="28" customHeight="1">
      <c r="A8" s="13" t="inlineStr">
        <is>
          <t>4</t>
        </is>
      </c>
      <c r="B8" s="14" t="inlineStr">
        <is>
          <t>Job Title</t>
        </is>
      </c>
      <c r="C8" s="15" t="inlineStr">
        <is>
          <t>Headcount by role, gender per role</t>
        </is>
      </c>
      <c r="D8" s="15" t="inlineStr">
        <is>
          <t>Horizontal Bar + Cluster</t>
        </is>
      </c>
    </row>
    <row r="9" ht="28" customHeight="1">
      <c r="A9" s="16" t="inlineStr">
        <is>
          <t>5</t>
        </is>
      </c>
      <c r="B9" s="17" t="inlineStr">
        <is>
          <t>Tenure &amp; Hiring</t>
        </is>
      </c>
      <c r="C9" s="18" t="inlineStr">
        <is>
          <t>Hiring trend, tenure buckets, longevity</t>
        </is>
      </c>
      <c r="D9" s="18" t="inlineStr">
        <is>
          <t>Line + Pie + Column</t>
        </is>
      </c>
    </row>
    <row r="10" ht="28" customHeight="1">
      <c r="A10" s="82" t="inlineStr">
        <is>
          <t>6</t>
        </is>
      </c>
      <c r="B10" s="83" t="inlineStr">
        <is>
          <t>Employee Performance &amp; Insights</t>
        </is>
      </c>
      <c r="C10" s="84" t="inlineStr">
        <is>
          <t>Salary bands, top roles, gender×edu, age-salary trend</t>
        </is>
      </c>
      <c r="D10" s="84" t="inlineStr">
        <is>
          <t>Column + Horizontal Bar + Clustered + Line</t>
        </is>
      </c>
    </row>
    <row r="11" ht="28" customHeight="1">
      <c r="A11" s="19" t="inlineStr">
        <is>
          <t>📋  EXCEL SKILLS YOU WILL LEARN IN THIS TUTORIAL</t>
        </is>
      </c>
    </row>
    <row r="12" ht="22" customHeight="1">
      <c r="A12" s="20" t="inlineStr">
        <is>
          <t>✅ COUNTIF / COUNTIFS</t>
        </is>
      </c>
      <c r="B12" s="21" t="n"/>
      <c r="C12" s="22" t="inlineStr">
        <is>
          <t>Count cells that meet one or more conditions</t>
        </is>
      </c>
      <c r="D12" s="23" t="n"/>
      <c r="E12" s="21" t="n"/>
    </row>
    <row r="13" ht="22" customHeight="1">
      <c r="A13" s="24" t="inlineStr">
        <is>
          <t>✅ AVERAGEIF / AVERAGEIFS</t>
        </is>
      </c>
      <c r="B13" s="21" t="n"/>
      <c r="C13" s="25" t="inlineStr">
        <is>
          <t>Average values based on conditions</t>
        </is>
      </c>
      <c r="D13" s="23" t="n"/>
      <c r="E13" s="21" t="n"/>
    </row>
    <row r="14" ht="22" customHeight="1">
      <c r="A14" s="20" t="inlineStr">
        <is>
          <t>✅ SUMIF / SUMIFS</t>
        </is>
      </c>
      <c r="B14" s="21" t="n"/>
      <c r="C14" s="22" t="inlineStr">
        <is>
          <t>Sum values based on conditions</t>
        </is>
      </c>
      <c r="D14" s="23" t="n"/>
      <c r="E14" s="21" t="n"/>
    </row>
    <row r="15" ht="22" customHeight="1">
      <c r="A15" s="24" t="inlineStr">
        <is>
          <t>✅ Pivot Tables</t>
        </is>
      </c>
      <c r="B15" s="21" t="n"/>
      <c r="C15" s="25" t="inlineStr">
        <is>
          <t>Summarize and group large datasets instantly</t>
        </is>
      </c>
      <c r="D15" s="23" t="n"/>
      <c r="E15" s="21" t="n"/>
    </row>
    <row r="16" ht="22" customHeight="1">
      <c r="A16" s="20" t="inlineStr">
        <is>
          <t>✅ Pivot Charts</t>
        </is>
      </c>
      <c r="B16" s="21" t="n"/>
      <c r="C16" s="22" t="inlineStr">
        <is>
          <t>Create charts linked to Pivot Tables</t>
        </is>
      </c>
      <c r="D16" s="23" t="n"/>
      <c r="E16" s="21" t="n"/>
    </row>
    <row r="17" ht="22" customHeight="1">
      <c r="A17" s="24" t="inlineStr">
        <is>
          <t>✅ Conditional Formatting</t>
        </is>
      </c>
      <c r="B17" s="21" t="n"/>
      <c r="C17" s="25" t="inlineStr">
        <is>
          <t>Highlight data with colors, data bars, icons</t>
        </is>
      </c>
      <c r="D17" s="23" t="n"/>
      <c r="E17" s="21" t="n"/>
    </row>
    <row r="18" ht="22" customHeight="1">
      <c r="A18" s="20" t="inlineStr">
        <is>
          <t>✅ Named Ranges</t>
        </is>
      </c>
      <c r="B18" s="21" t="n"/>
      <c r="C18" s="22" t="inlineStr">
        <is>
          <t>Give names to cell ranges for easy formulas</t>
        </is>
      </c>
      <c r="D18" s="23" t="n"/>
      <c r="E18" s="21" t="n"/>
    </row>
    <row r="19" ht="22" customHeight="1">
      <c r="A19" s="24" t="inlineStr">
        <is>
          <t>✅ Data Validation</t>
        </is>
      </c>
      <c r="B19" s="21" t="n"/>
      <c r="C19" s="25" t="inlineStr">
        <is>
          <t>Create dropdown lists for data entry</t>
        </is>
      </c>
      <c r="D19" s="23" t="n"/>
      <c r="E19" s="21" t="n"/>
    </row>
    <row r="20" ht="22" customHeight="1">
      <c r="A20" s="20" t="inlineStr">
        <is>
          <t>✅ Chart Formatting</t>
        </is>
      </c>
      <c r="B20" s="21" t="n"/>
      <c r="C20" s="22" t="inlineStr">
        <is>
          <t>Customize titles, colors, labels on charts</t>
        </is>
      </c>
      <c r="D20" s="23" t="n"/>
      <c r="E20" s="21" t="n"/>
    </row>
    <row r="21" ht="22" customHeight="1">
      <c r="A21" s="24" t="inlineStr">
        <is>
          <t>✅ Freeze Panes</t>
        </is>
      </c>
      <c r="B21" s="21" t="n"/>
      <c r="C21" s="25" t="inlineStr">
        <is>
          <t>Lock rows/columns while scrolling</t>
        </is>
      </c>
      <c r="D21" s="23" t="n"/>
      <c r="E21" s="21" t="n"/>
    </row>
    <row r="22" ht="22" customHeight="1">
      <c r="A22" s="20" t="inlineStr">
        <is>
          <t>✅ VLOOKUP / XLOOKUP</t>
        </is>
      </c>
      <c r="B22" s="21" t="n"/>
      <c r="C22" s="22" t="inlineStr">
        <is>
          <t>Lookup values from other sheets</t>
        </is>
      </c>
      <c r="D22" s="23" t="n"/>
      <c r="E22" s="21" t="n"/>
    </row>
    <row r="23" ht="22" customHeight="1">
      <c r="A23" s="24" t="inlineStr">
        <is>
          <t>✅ IF / IFS Statements</t>
        </is>
      </c>
      <c r="B23" s="21" t="n"/>
      <c r="C23" s="25" t="inlineStr">
        <is>
          <t>Logical formulas for categorization</t>
        </is>
      </c>
      <c r="D23" s="23" t="n"/>
      <c r="E23" s="21" t="n"/>
    </row>
    <row r="24" ht="22" customHeight="1">
      <c r="A24" s="20" t="inlineStr">
        <is>
          <t>✅ TEXT Function</t>
        </is>
      </c>
      <c r="B24" s="21" t="n"/>
      <c r="C24" s="22" t="inlineStr">
        <is>
          <t>Format numbers as readable text</t>
        </is>
      </c>
      <c r="D24" s="23" t="n"/>
      <c r="E24" s="21" t="n"/>
    </row>
    <row r="25" ht="22" customHeight="1">
      <c r="A25" s="24" t="inlineStr">
        <is>
          <t>✅ LEN / TRIM / UPPER</t>
        </is>
      </c>
      <c r="B25" s="21" t="n"/>
      <c r="C25" s="25" t="inlineStr">
        <is>
          <t>Clean and manipulate text data</t>
        </is>
      </c>
      <c r="D25" s="23" t="n"/>
      <c r="E25" s="21" t="n"/>
    </row>
    <row r="26" ht="22" customHeight="1">
      <c r="A26" s="20" t="inlineStr">
        <is>
          <t>✅ Dashboard Layout Design</t>
        </is>
      </c>
      <c r="B26" s="21" t="n"/>
      <c r="C26" s="22" t="inlineStr">
        <is>
          <t>Arrange KPI cards, charts, and tables professionally</t>
        </is>
      </c>
      <c r="D26" s="23" t="n"/>
      <c r="E26" s="21" t="n"/>
    </row>
  </sheetData>
  <mergeCells count="33">
    <mergeCell ref="C16:E16"/>
    <mergeCell ref="A24:B24"/>
    <mergeCell ref="A15:B15"/>
    <mergeCell ref="C22:E22"/>
    <mergeCell ref="A11:E11"/>
    <mergeCell ref="A1:E1"/>
    <mergeCell ref="C21:E21"/>
    <mergeCell ref="C12:E12"/>
    <mergeCell ref="A16:B16"/>
    <mergeCell ref="A25:B25"/>
    <mergeCell ref="C23:E23"/>
    <mergeCell ref="C17:E17"/>
    <mergeCell ref="A18:B18"/>
    <mergeCell ref="A12:B12"/>
    <mergeCell ref="A26:B26"/>
    <mergeCell ref="A21:B21"/>
    <mergeCell ref="C13:E13"/>
    <mergeCell ref="A2:E2"/>
    <mergeCell ref="C19:E19"/>
    <mergeCell ref="C18:E18"/>
    <mergeCell ref="A14:B14"/>
    <mergeCell ref="A17:B17"/>
    <mergeCell ref="A23:B23"/>
    <mergeCell ref="C15:E15"/>
    <mergeCell ref="A22:B22"/>
    <mergeCell ref="C24:E24"/>
    <mergeCell ref="A20:B20"/>
    <mergeCell ref="C14:E14"/>
    <mergeCell ref="A19:B19"/>
    <mergeCell ref="A13:B13"/>
    <mergeCell ref="C26:E26"/>
    <mergeCell ref="C20:E20"/>
    <mergeCell ref="C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17A65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35" customWidth="1" min="4" max="4"/>
    <col width="20" customWidth="1" min="5" max="5"/>
  </cols>
  <sheetData>
    <row r="1" ht="40" customHeight="1">
      <c r="A1" s="26" t="inlineStr">
        <is>
          <t>📐  EXCEL BASICS &amp; ESSENTIAL FORMULAS</t>
        </is>
      </c>
    </row>
    <row r="2">
      <c r="A2" s="27" t="inlineStr">
        <is>
          <t>Master these core Excel skills before building dashboards</t>
        </is>
      </c>
    </row>
    <row r="4" ht="25" customHeight="1">
      <c r="A4" s="28" t="inlineStr">
        <is>
          <t>🔢  COUNTING &amp; STATISTICAL FORMULAS</t>
        </is>
      </c>
    </row>
    <row r="5" ht="22" customHeight="1">
      <c r="B5" s="29" t="inlineStr">
        <is>
          <t>Formula</t>
        </is>
      </c>
      <c r="C5" s="29" t="inlineStr">
        <is>
          <t>Syntax</t>
        </is>
      </c>
      <c r="D5" s="29" t="inlineStr">
        <is>
          <t>Example</t>
        </is>
      </c>
      <c r="E5" s="29" t="inlineStr">
        <is>
          <t>What it Does</t>
        </is>
      </c>
    </row>
    <row r="6" ht="22" customHeight="1">
      <c r="B6" s="30" t="inlineStr">
        <is>
          <t>COUNT</t>
        </is>
      </c>
      <c r="C6" s="31" t="inlineStr">
        <is>
          <t>COUNT(range)</t>
        </is>
      </c>
      <c r="D6" s="32">
        <f>COUNT(G2:G916)</f>
        <v/>
      </c>
      <c r="E6" s="33" t="inlineStr">
        <is>
          <t>Counts numeric cells</t>
        </is>
      </c>
    </row>
    <row r="7" ht="22" customHeight="1">
      <c r="B7" s="34" t="inlineStr">
        <is>
          <t>COUNTA</t>
        </is>
      </c>
      <c r="C7" s="35" t="inlineStr">
        <is>
          <t>COUNTA(range)</t>
        </is>
      </c>
      <c r="D7" s="36">
        <f>COUNTA(A2:A916)</f>
        <v/>
      </c>
      <c r="E7" s="37" t="inlineStr">
        <is>
          <t>Counts non-empty cells — use for names/text</t>
        </is>
      </c>
    </row>
    <row r="8" ht="22" customHeight="1">
      <c r="B8" s="30" t="inlineStr">
        <is>
          <t>COUNTIF</t>
        </is>
      </c>
      <c r="C8" s="31" t="inlineStr">
        <is>
          <t>COUNTIF(range, criteria)</t>
        </is>
      </c>
      <c r="D8" s="32">
        <f>COUNTIF(C:C,"Male")</f>
        <v/>
      </c>
      <c r="E8" s="33" t="inlineStr">
        <is>
          <t>Count cells matching one condition</t>
        </is>
      </c>
    </row>
    <row r="9" ht="22" customHeight="1">
      <c r="B9" s="34" t="inlineStr">
        <is>
          <t>COUNTIFS</t>
        </is>
      </c>
      <c r="C9" s="35" t="inlineStr">
        <is>
          <t>COUNTIFS(r1,c1,r2,c2,...)</t>
        </is>
      </c>
      <c r="D9" s="36">
        <f>COUNTIFS(C:C,"Male",F:F,"Manager")</f>
        <v/>
      </c>
      <c r="E9" s="37" t="inlineStr">
        <is>
          <t>Count cells matching multiple conditions</t>
        </is>
      </c>
    </row>
    <row r="10" ht="22" customHeight="1">
      <c r="B10" s="30" t="inlineStr">
        <is>
          <t>SUM</t>
        </is>
      </c>
      <c r="C10" s="31" t="inlineStr">
        <is>
          <t>SUM(range)</t>
        </is>
      </c>
      <c r="D10" s="32">
        <f>SUM(G2:G916)</f>
        <v/>
      </c>
      <c r="E10" s="33" t="inlineStr">
        <is>
          <t>Add all numbers in a range</t>
        </is>
      </c>
    </row>
    <row r="11" ht="22" customHeight="1">
      <c r="B11" s="34" t="inlineStr">
        <is>
          <t>SUMIF</t>
        </is>
      </c>
      <c r="C11" s="35" t="inlineStr">
        <is>
          <t>SUMIF(range, criteria, sum_range)</t>
        </is>
      </c>
      <c r="D11" s="36">
        <f>SUMIF(C:C,"Female",G:G)</f>
        <v/>
      </c>
      <c r="E11" s="37" t="inlineStr">
        <is>
          <t>Sum values where condition is met</t>
        </is>
      </c>
    </row>
    <row r="12" ht="22" customHeight="1">
      <c r="B12" s="30" t="inlineStr">
        <is>
          <t>AVERAGE</t>
        </is>
      </c>
      <c r="C12" s="31" t="inlineStr">
        <is>
          <t>AVERAGE(range)</t>
        </is>
      </c>
      <c r="D12" s="32">
        <f>AVERAGE(G2:G916)</f>
        <v/>
      </c>
      <c r="E12" s="33" t="inlineStr">
        <is>
          <t>Calculate average/mean</t>
        </is>
      </c>
    </row>
    <row r="13" ht="22" customHeight="1">
      <c r="B13" s="34" t="inlineStr">
        <is>
          <t>AVERAGEIF</t>
        </is>
      </c>
      <c r="C13" s="35" t="inlineStr">
        <is>
          <t>AVERAGEIF(range, criteria, avg_range)</t>
        </is>
      </c>
      <c r="D13" s="36">
        <f>AVERAGEIF(F:F,"Engineer",G:G)</f>
        <v/>
      </c>
      <c r="E13" s="37" t="inlineStr">
        <is>
          <t>Average where condition is met</t>
        </is>
      </c>
    </row>
    <row r="14" ht="22" customHeight="1">
      <c r="B14" s="30" t="inlineStr">
        <is>
          <t>MAX</t>
        </is>
      </c>
      <c r="C14" s="31" t="inlineStr">
        <is>
          <t>MAX(range)</t>
        </is>
      </c>
      <c r="D14" s="32">
        <f>MAX(G2:G916)</f>
        <v/>
      </c>
      <c r="E14" s="33" t="inlineStr">
        <is>
          <t>Find the largest value</t>
        </is>
      </c>
    </row>
    <row r="15" ht="22" customHeight="1">
      <c r="B15" s="34" t="inlineStr">
        <is>
          <t>MIN</t>
        </is>
      </c>
      <c r="C15" s="35" t="inlineStr">
        <is>
          <t>MIN(range)</t>
        </is>
      </c>
      <c r="D15" s="36">
        <f>MIN(G2:G916)</f>
        <v/>
      </c>
      <c r="E15" s="37" t="inlineStr">
        <is>
          <t>Find the smallest value</t>
        </is>
      </c>
    </row>
    <row r="16" ht="22" customHeight="1">
      <c r="B16" s="30" t="inlineStr">
        <is>
          <t>MEDIAN</t>
        </is>
      </c>
      <c r="C16" s="31" t="inlineStr">
        <is>
          <t>MEDIAN(range)</t>
        </is>
      </c>
      <c r="D16" s="32">
        <f>MEDIAN(G2:G916)</f>
        <v/>
      </c>
      <c r="E16" s="33" t="inlineStr">
        <is>
          <t>Find the middle value</t>
        </is>
      </c>
    </row>
    <row r="17" ht="22" customHeight="1">
      <c r="B17" s="34" t="inlineStr">
        <is>
          <t>STDEV</t>
        </is>
      </c>
      <c r="C17" s="35" t="inlineStr">
        <is>
          <t>STDEV(range)</t>
        </is>
      </c>
      <c r="D17" s="36">
        <f>STDEV(G2:G916)</f>
        <v/>
      </c>
      <c r="E17" s="37" t="inlineStr">
        <is>
          <t>Measure how spread out salaries are</t>
        </is>
      </c>
    </row>
    <row r="19" ht="25" customHeight="1">
      <c r="A19" s="38" t="inlineStr">
        <is>
          <t>🔍  LOOKUP FORMULAS</t>
        </is>
      </c>
    </row>
    <row r="20" ht="22" customHeight="1">
      <c r="B20" s="39" t="inlineStr">
        <is>
          <t>Formula</t>
        </is>
      </c>
      <c r="C20" s="39" t="inlineStr">
        <is>
          <t>Syntax</t>
        </is>
      </c>
      <c r="D20" s="39" t="inlineStr">
        <is>
          <t>Example</t>
        </is>
      </c>
      <c r="E20" s="39" t="inlineStr">
        <is>
          <t>What it Does</t>
        </is>
      </c>
    </row>
    <row r="21" ht="28" customHeight="1">
      <c r="B21" s="34" t="inlineStr">
        <is>
          <t>VLOOKUP</t>
        </is>
      </c>
      <c r="C21" s="40" t="inlineStr">
        <is>
          <t>VLOOKUP(lookup, table, col_index, FALSE)</t>
        </is>
      </c>
      <c r="D21" s="41">
        <f>VLOOKUP("EMP001",A:H,7,FALSE)</f>
        <v/>
      </c>
      <c r="E21" s="37" t="inlineStr">
        <is>
          <t>Find a value by matching an ID</t>
        </is>
      </c>
    </row>
    <row r="22" ht="28" customHeight="1">
      <c r="B22" s="30" t="inlineStr">
        <is>
          <t>XLOOKUP</t>
        </is>
      </c>
      <c r="C22" s="42" t="inlineStr">
        <is>
          <t>XLOOKUP(lookup, lookup_arr, return_arr)</t>
        </is>
      </c>
      <c r="D22" s="43">
        <f>XLOOKUP(A2,EmpData!A:A,EmpData!G:G)</f>
        <v/>
      </c>
      <c r="E22" s="33" t="inlineStr">
        <is>
          <t>Modern replacement for VLOOKUP (Excel 2019+)</t>
        </is>
      </c>
    </row>
    <row r="23" ht="28" customHeight="1">
      <c r="B23" s="34" t="inlineStr">
        <is>
          <t>INDEX+MATCH</t>
        </is>
      </c>
      <c r="C23" s="40" t="inlineStr">
        <is>
          <t>INDEX(return_range, MATCH(lookup,range,0))</t>
        </is>
      </c>
      <c r="D23" s="41">
        <f>INDEX(G:G,MATCH("EMP001",B:B,0))</f>
        <v/>
      </c>
      <c r="E23" s="37" t="inlineStr">
        <is>
          <t>Flexible 2-way lookup</t>
        </is>
      </c>
    </row>
    <row r="25" ht="25" customHeight="1">
      <c r="A25" s="44" t="inlineStr">
        <is>
          <t>🔤  TEXT &amp; LOGICAL FORMULAS</t>
        </is>
      </c>
    </row>
    <row r="26" ht="22" customHeight="1">
      <c r="B26" s="45" t="inlineStr">
        <is>
          <t>Formula</t>
        </is>
      </c>
      <c r="C26" s="45" t="inlineStr">
        <is>
          <t>Syntax</t>
        </is>
      </c>
      <c r="D26" s="45" t="inlineStr">
        <is>
          <t>Example</t>
        </is>
      </c>
      <c r="E26" s="45" t="inlineStr">
        <is>
          <t>What it Does</t>
        </is>
      </c>
    </row>
    <row r="27" ht="28" customHeight="1">
      <c r="B27" s="46" t="inlineStr">
        <is>
          <t>IF</t>
        </is>
      </c>
      <c r="C27" s="40" t="inlineStr">
        <is>
          <t>IF(condition, if_true, if_false)</t>
        </is>
      </c>
      <c r="D27" s="41">
        <f>IF(G2&gt;100000,"Senior","Junior")</f>
        <v/>
      </c>
      <c r="E27" s="37" t="inlineStr">
        <is>
          <t>Categorize based on a condition</t>
        </is>
      </c>
    </row>
    <row r="28" ht="28" customHeight="1">
      <c r="B28" s="47" t="inlineStr">
        <is>
          <t>IFS</t>
        </is>
      </c>
      <c r="C28" s="42" t="inlineStr">
        <is>
          <t>IFS(cond1,val1,cond2,val2,...)</t>
        </is>
      </c>
      <c r="D28" s="43">
        <f>IFS(H2&lt;30,"Young",H2&lt;50,"Mid",TRUE,"Senior")</f>
        <v/>
      </c>
      <c r="E28" s="33" t="inlineStr">
        <is>
          <t>Multiple conditions without nesting IF</t>
        </is>
      </c>
    </row>
    <row r="29" ht="28" customHeight="1">
      <c r="B29" s="46" t="inlineStr">
        <is>
          <t>TEXT</t>
        </is>
      </c>
      <c r="C29" s="40" t="inlineStr">
        <is>
          <t>TEXT(value, format_text)</t>
        </is>
      </c>
      <c r="D29" s="41">
        <f>TEXT(G2,"$#,##0.00")</f>
        <v/>
      </c>
      <c r="E29" s="37" t="inlineStr">
        <is>
          <t>Format a number as text</t>
        </is>
      </c>
    </row>
    <row r="30" ht="28" customHeight="1">
      <c r="B30" s="47" t="inlineStr">
        <is>
          <t>LEFT/RIGHT</t>
        </is>
      </c>
      <c r="C30" s="42" t="inlineStr">
        <is>
          <t>LEFT(text, num_chars)</t>
        </is>
      </c>
      <c r="D30" s="43">
        <f>LEFT(A2, 5)</f>
        <v/>
      </c>
      <c r="E30" s="33" t="inlineStr">
        <is>
          <t>Extract characters from left/right of text</t>
        </is>
      </c>
    </row>
    <row r="31" ht="28" customHeight="1">
      <c r="B31" s="46" t="inlineStr">
        <is>
          <t>UPPER/LOWER</t>
        </is>
      </c>
      <c r="C31" s="40" t="inlineStr">
        <is>
          <t>UPPER(text)</t>
        </is>
      </c>
      <c r="D31" s="41">
        <f>UPPER(C2)</f>
        <v/>
      </c>
      <c r="E31" s="37" t="inlineStr">
        <is>
          <t>Convert text to uppercase/lowercase</t>
        </is>
      </c>
    </row>
    <row r="32" ht="28" customHeight="1">
      <c r="B32" s="47" t="inlineStr">
        <is>
          <t>TRIM</t>
        </is>
      </c>
      <c r="C32" s="42" t="inlineStr">
        <is>
          <t>TRIM(text)</t>
        </is>
      </c>
      <c r="D32" s="43">
        <f>TRIM(A2)</f>
        <v/>
      </c>
      <c r="E32" s="33" t="inlineStr">
        <is>
          <t>Remove extra spaces from text</t>
        </is>
      </c>
    </row>
    <row r="33" ht="28" customHeight="1">
      <c r="B33" s="46" t="inlineStr">
        <is>
          <t>CONCATENATE</t>
        </is>
      </c>
      <c r="C33" s="40" t="inlineStr">
        <is>
          <t>CONCAT(text1, text2,...)</t>
        </is>
      </c>
      <c r="D33" s="41">
        <f>CONCAT(A2," - ",F2)</f>
        <v/>
      </c>
      <c r="E33" s="37" t="inlineStr">
        <is>
          <t>Join text from multiple cells</t>
        </is>
      </c>
    </row>
  </sheetData>
  <mergeCells count="5">
    <mergeCell ref="A4:E4"/>
    <mergeCell ref="A2:E2"/>
    <mergeCell ref="A25:E25"/>
    <mergeCell ref="A19:E19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4057"/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38" customWidth="1" min="4" max="4"/>
    <col width="18" customWidth="1" min="5" max="5"/>
  </cols>
  <sheetData>
    <row r="1" ht="45" customHeight="1">
      <c r="A1" s="48" t="inlineStr">
        <is>
          <t>🏢  DASHBOARD 1: HR OVERVIEW — Step-by-Step Tutorial</t>
        </is>
      </c>
    </row>
    <row r="2" ht="25" customHeight="1">
      <c r="A2" s="49" t="inlineStr">
        <is>
          <t>Goal: Build a complete HR dashboard with KPI cards, gender pie, salary bar, and education chart</t>
        </is>
      </c>
    </row>
    <row r="4" ht="25" customHeight="1">
      <c r="A4" s="50" t="inlineStr">
        <is>
          <t>PHASE 1: PREPARE YOUR DATA</t>
        </is>
      </c>
    </row>
    <row r="5" ht="35" customHeight="1">
      <c r="A5" s="51" t="inlineStr">
        <is>
          <t>Step 1</t>
        </is>
      </c>
      <c r="B5" s="52" t="inlineStr">
        <is>
          <t>Open Employee Data</t>
        </is>
      </c>
      <c r="C5" s="37" t="inlineStr">
        <is>
          <t>Open employee_data.xlsx. Make sure you see 8 columns:
Name, Emp ID, Gender, Education, Date of Join, Job Title, Salary, Age</t>
        </is>
      </c>
      <c r="D5" s="53" t="n"/>
      <c r="E5" s="54" t="inlineStr">
        <is>
          <t>Data is ready ✅</t>
        </is>
      </c>
    </row>
    <row r="6" ht="35" customHeight="1">
      <c r="A6" s="51" t="inlineStr">
        <is>
          <t>Step 2</t>
        </is>
      </c>
      <c r="B6" s="52" t="inlineStr">
        <is>
          <t>Format as Table</t>
        </is>
      </c>
      <c r="C6" s="33" t="inlineStr">
        <is>
          <t>Select A1:H916 → Press Ctrl+T → Check 'My table has headers' → Click OK</t>
        </is>
      </c>
      <c r="D6" s="53" t="n"/>
      <c r="E6" s="54" t="inlineStr">
        <is>
          <t>Excel adds filters + zebra stripes ✅</t>
        </is>
      </c>
    </row>
    <row r="7" ht="35" customHeight="1">
      <c r="A7" s="51" t="inlineStr">
        <is>
          <t>Step 3</t>
        </is>
      </c>
      <c r="B7" s="52" t="inlineStr">
        <is>
          <t>Freeze Top Row</t>
        </is>
      </c>
      <c r="C7" s="37" t="inlineStr">
        <is>
          <t>View tab → Freeze Panes → Freeze Top Row
Now the header stays visible as you scroll</t>
        </is>
      </c>
      <c r="D7" s="53" t="n"/>
      <c r="E7" s="54" t="inlineStr">
        <is>
          <t>Row 1 stays locked ✅</t>
        </is>
      </c>
    </row>
    <row r="8" ht="35" customHeight="1">
      <c r="A8" s="51" t="inlineStr">
        <is>
          <t>Step 4</t>
        </is>
      </c>
      <c r="B8" s="52" t="inlineStr">
        <is>
          <t>Format Salary Column</t>
        </is>
      </c>
      <c r="C8" s="33" t="inlineStr">
        <is>
          <t>Select column G (Salary) → Right-click → Format Cells
→ Currency → 2 decimal places → OK</t>
        </is>
      </c>
      <c r="D8" s="53" t="n"/>
      <c r="E8" s="54" t="inlineStr">
        <is>
          <t>Salary shows as $41,923.37 ✅</t>
        </is>
      </c>
    </row>
    <row r="9" ht="30" customHeight="1">
      <c r="A9" s="55" t="inlineStr">
        <is>
          <t>💡 TIP: Turning data into a Table (Ctrl+T) makes formulas auto-expand when you add rows and enables slicers for dashboards!</t>
        </is>
      </c>
      <c r="B9" s="23" t="n"/>
      <c r="C9" s="23" t="n"/>
      <c r="D9" s="23" t="n"/>
      <c r="E9" s="21" t="n"/>
    </row>
    <row r="11" ht="25" customHeight="1">
      <c r="A11" s="56" t="inlineStr">
        <is>
          <t>PHASE 2: CREATE SUMMARY SHEET</t>
        </is>
      </c>
    </row>
    <row r="12" ht="35" customHeight="1">
      <c r="A12" s="51" t="inlineStr">
        <is>
          <t>Step 5</t>
        </is>
      </c>
      <c r="B12" s="52" t="inlineStr">
        <is>
          <t>New Summary Sheet</t>
        </is>
      </c>
      <c r="C12" s="33" t="inlineStr">
        <is>
          <t>Right-click a sheet tab → Insert → Worksheet
Rename it 'Summary' by double-clicking the tab</t>
        </is>
      </c>
      <c r="D12" s="53" t="n"/>
      <c r="E12" s="54" t="inlineStr">
        <is>
          <t>New sheet created ✅</t>
        </is>
      </c>
    </row>
    <row r="13" ht="35" customHeight="1">
      <c r="A13" s="51" t="inlineStr">
        <is>
          <t>Step 6</t>
        </is>
      </c>
      <c r="B13" s="52" t="inlineStr">
        <is>
          <t>Gender Count Formula</t>
        </is>
      </c>
      <c r="C13" s="37" t="inlineStr">
        <is>
          <t>In Summary!A1 type 'Gender', B1 type 'Count'
A2: Male, A3: Female
B2: =COUNTIF('Employee Data'!C:C,"Male")
B3: =COUNTIF('Employee Data'!C:C,"Female")</t>
        </is>
      </c>
      <c r="D13" s="57">
        <f>COUNTIF('Employee Data'!C:C,"Male")</f>
        <v/>
      </c>
      <c r="E13" s="54" t="inlineStr">
        <is>
          <t>Male: 450, Female: 466 ✅</t>
        </is>
      </c>
    </row>
    <row r="14" ht="35" customHeight="1">
      <c r="A14" s="51" t="inlineStr">
        <is>
          <t>Step 7</t>
        </is>
      </c>
      <c r="B14" s="52" t="inlineStr">
        <is>
          <t>Job Title Avg Salary</t>
        </is>
      </c>
      <c r="C14" s="33" t="inlineStr">
        <is>
          <t>D1: Job Title, E1: Avg Salary
For each role, use AVERAGEIF:
E2: =AVERAGEIF('Employee Data'!F:F,D2,'Employee Data'!G:G)</t>
        </is>
      </c>
      <c r="D14" s="57">
        <f>AVERAGEIF('Employee Data'!F:F,D2,'Employee Data'!G:G)</f>
        <v/>
      </c>
      <c r="E14" s="54" t="inlineStr">
        <is>
          <t>Returns avg salary per role ✅</t>
        </is>
      </c>
    </row>
    <row r="15" ht="35" customHeight="1">
      <c r="A15" s="51" t="inlineStr">
        <is>
          <t>Step 8</t>
        </is>
      </c>
      <c r="B15" s="52" t="inlineStr">
        <is>
          <t>Education Count</t>
        </is>
      </c>
      <c r="C15" s="37" t="inlineStr">
        <is>
          <t>G1: Education, H1: Count
List each education type in G2:G6
H2: =COUNTIF('Employee Data'!D:D,G2)
Copy H2 down to H6</t>
        </is>
      </c>
      <c r="D15" s="57">
        <f>COUNTIF('Employee Data'!D:D,G2)</f>
        <v/>
      </c>
      <c r="E15" s="54" t="inlineStr">
        <is>
          <t>Count per education level ✅</t>
        </is>
      </c>
    </row>
    <row r="16" ht="30" customHeight="1">
      <c r="A16" s="55" t="inlineStr">
        <is>
          <t>💡 TIP: Always build summary sheets that feed your charts. Never link charts directly to raw data with thousands of rows.</t>
        </is>
      </c>
      <c r="B16" s="23" t="n"/>
      <c r="C16" s="23" t="n"/>
      <c r="D16" s="23" t="n"/>
      <c r="E16" s="21" t="n"/>
    </row>
    <row r="18" ht="25" customHeight="1">
      <c r="A18" s="28" t="inlineStr">
        <is>
          <t>PHASE 3: CREATE KPI CARDS</t>
        </is>
      </c>
    </row>
    <row r="19" ht="35" customHeight="1">
      <c r="A19" s="51" t="inlineStr">
        <is>
          <t>Step 9</t>
        </is>
      </c>
      <c r="B19" s="52" t="inlineStr">
        <is>
          <t>Create Dashboard Sheet</t>
        </is>
      </c>
      <c r="C19" s="37" t="inlineStr">
        <is>
          <t>Create a new sheet called 'HR Dashboard'
Right-click → Sheet Properties → Tab Color → choose dark blue</t>
        </is>
      </c>
      <c r="D19" s="53" t="n"/>
      <c r="E19" s="54" t="inlineStr">
        <is>
          <t>Dashboard tab created ✅</t>
        </is>
      </c>
    </row>
    <row r="20" ht="35" customHeight="1">
      <c r="A20" s="51" t="inlineStr">
        <is>
          <t>Step 10</t>
        </is>
      </c>
      <c r="B20" s="52" t="inlineStr">
        <is>
          <t>Hide Gridlines</t>
        </is>
      </c>
      <c r="C20" s="58" t="inlineStr">
        <is>
          <t>View tab → uncheck 'Gridlines'
This makes your dashboard look clean and professional</t>
        </is>
      </c>
      <c r="D20" s="53" t="n"/>
      <c r="E20" s="54" t="inlineStr">
        <is>
          <t>Gridlines hidden ✅</t>
        </is>
      </c>
    </row>
    <row r="21" ht="35" customHeight="1">
      <c r="A21" s="51" t="inlineStr">
        <is>
          <t>Step 11</t>
        </is>
      </c>
      <c r="B21" s="52" t="inlineStr">
        <is>
          <t>Merge KPI Title Cells</t>
        </is>
      </c>
      <c r="C21" s="37" t="inlineStr">
        <is>
          <t>Select A4:B4 → Home → Merge &amp; Center
Type 'Total Employees'
Select A5:B5 → Merge &amp; Center
Type formula: =COUNTA('Employee Data'!A:A)-1</t>
        </is>
      </c>
      <c r="D21" s="57">
        <f>COUNTA('Employee Data'!A:A)-1</f>
        <v/>
      </c>
      <c r="E21" s="54" t="inlineStr">
        <is>
          <t>Shows 916 ✅</t>
        </is>
      </c>
    </row>
    <row r="22" ht="35" customHeight="1">
      <c r="A22" s="51" t="inlineStr">
        <is>
          <t>Step 12</t>
        </is>
      </c>
      <c r="B22" s="52" t="inlineStr">
        <is>
          <t>Style KPI Cards</t>
        </is>
      </c>
      <c r="C22" s="58" t="inlineStr">
        <is>
          <t>Fill KPI cells with dark blue: #1B4F72
Font: White, bold, size 18 for the value
Font: White, bold, size 10 for the label
Border: thin border around the card</t>
        </is>
      </c>
      <c r="D22" s="53" t="n"/>
      <c r="E22" s="54" t="inlineStr">
        <is>
          <t>Professional KPI card ✅</t>
        </is>
      </c>
    </row>
    <row r="23" ht="35" customHeight="1">
      <c r="A23" s="51" t="inlineStr">
        <is>
          <t>Step 13</t>
        </is>
      </c>
      <c r="B23" s="52" t="inlineStr">
        <is>
          <t>Create 5 More KPIs</t>
        </is>
      </c>
      <c r="C23" s="37" t="inlineStr">
        <is>
          <t>Repeat for: Avg Salary, Avg Age, Total Payroll, Male Count, Female Count
Formulas:
Avg Salary: =AVERAGE('Employee Data'!G:G)
Total Payroll: =SUM('Employee Data'!G:G)</t>
        </is>
      </c>
      <c r="D23" s="57">
        <f>AVERAGE('Employee Data'!G:G)</f>
        <v/>
      </c>
      <c r="E23" s="54" t="inlineStr">
        <is>
          <t>All 6 KPIs displayed ✅</t>
        </is>
      </c>
    </row>
    <row r="24" ht="30" customHeight="1">
      <c r="A24" s="55" t="inlineStr">
        <is>
          <t>💡 TIP: Use the Format Painter (Ctrl+Shift+C / Ctrl+Shift+V) to quickly copy cell formatting from one KPI card to another!</t>
        </is>
      </c>
      <c r="B24" s="23" t="n"/>
      <c r="C24" s="23" t="n"/>
      <c r="D24" s="23" t="n"/>
      <c r="E24" s="21" t="n"/>
    </row>
    <row r="26" ht="25" customHeight="1">
      <c r="A26" s="59" t="inlineStr">
        <is>
          <t>PHASE 4: INSERT CHARTS</t>
        </is>
      </c>
    </row>
    <row r="27" ht="35" customHeight="1">
      <c r="A27" s="51" t="inlineStr">
        <is>
          <t>Step 14</t>
        </is>
      </c>
      <c r="B27" s="52" t="inlineStr">
        <is>
          <t>Insert Pie Chart (Gender)</t>
        </is>
      </c>
      <c r="C27" s="37" t="inlineStr">
        <is>
          <t>Go to Summary sheet → Select A1:B3 (Gender + Count)
Insert tab → Charts → Pie → 2D Pie
Click the chart → Chart Design → Move Chart → 'HR Dashboard' sheet</t>
        </is>
      </c>
      <c r="D27" s="53" t="n"/>
      <c r="E27" s="54" t="inlineStr">
        <is>
          <t>Pie chart inserted ✅</t>
        </is>
      </c>
    </row>
    <row r="28" ht="35" customHeight="1">
      <c r="A28" s="51" t="inlineStr">
        <is>
          <t>Step 15</t>
        </is>
      </c>
      <c r="B28" s="52" t="inlineStr">
        <is>
          <t>Format Pie Chart</t>
        </is>
      </c>
      <c r="C28" s="60" t="inlineStr">
        <is>
          <t>Click the chart title → rename: 'Gender Distribution'
Right-click pie slices → Add Data Labels → Show Percentage+Category
Chart Design → Change Colors → choose a color scheme</t>
        </is>
      </c>
      <c r="D28" s="53" t="n"/>
      <c r="E28" s="54" t="inlineStr">
        <is>
          <t>Chart looks professional ✅</t>
        </is>
      </c>
    </row>
    <row r="29" ht="35" customHeight="1">
      <c r="A29" s="51" t="inlineStr">
        <is>
          <t>Step 16</t>
        </is>
      </c>
      <c r="B29" s="52" t="inlineStr">
        <is>
          <t>Insert Bar Chart (Salary by Role)</t>
        </is>
      </c>
      <c r="C29" s="37" t="inlineStr">
        <is>
          <t>Back to Summary, select D1:E11 (top 10 jobs + salaries)
Insert → Bar Chart → Clustered Bar
Move to HR Dashboard → resize to fill columns E-J</t>
        </is>
      </c>
      <c r="D29" s="53" t="n"/>
      <c r="E29" s="54" t="inlineStr">
        <is>
          <t>Salary bar chart inserted ✅</t>
        </is>
      </c>
    </row>
    <row r="30" ht="35" customHeight="1">
      <c r="A30" s="51" t="inlineStr">
        <is>
          <t>Step 17</t>
        </is>
      </c>
      <c r="B30" s="52" t="inlineStr">
        <is>
          <t>Insert Column Chart (Education)</t>
        </is>
      </c>
      <c r="C30" s="60" t="inlineStr">
        <is>
          <t>Select G1:H6 on Summary sheet
Insert → Column Chart → 2D Clustered Column
Move to HR Dashboard → position below KPI cards</t>
        </is>
      </c>
      <c r="D30" s="53" t="n"/>
      <c r="E30" s="54" t="inlineStr">
        <is>
          <t>Education chart inserted ✅</t>
        </is>
      </c>
    </row>
    <row r="31" ht="35" customHeight="1">
      <c r="A31" s="51" t="inlineStr">
        <is>
          <t>Step 18</t>
        </is>
      </c>
      <c r="B31" s="52" t="inlineStr">
        <is>
          <t>Final Layout</t>
        </is>
      </c>
      <c r="C31" s="37" t="inlineStr">
        <is>
          <t>Arrange: KPI cards on top row, Pie chart left, Bar chart right
Add a title: Merge A1:L1 → type 'HR OVERVIEW DASHBOARD'
Fill dark blue, white text, font size 20</t>
        </is>
      </c>
      <c r="D31" s="53" t="n"/>
      <c r="E31" s="54" t="inlineStr">
        <is>
          <t>Professional dashboard! ✅</t>
        </is>
      </c>
    </row>
    <row r="32" ht="30" customHeight="1">
      <c r="A32" s="55" t="inlineStr">
        <is>
          <t>💡 TIP: Resize charts by dragging corner handles. Hold Alt while dragging to snap the chart borders to cell boundaries!</t>
        </is>
      </c>
      <c r="B32" s="23" t="n"/>
      <c r="C32" s="23" t="n"/>
      <c r="D32" s="23" t="n"/>
      <c r="E32" s="21" t="n"/>
    </row>
  </sheetData>
  <mergeCells count="10">
    <mergeCell ref="A4:E4"/>
    <mergeCell ref="A26:E26"/>
    <mergeCell ref="A24:E24"/>
    <mergeCell ref="A2:E2"/>
    <mergeCell ref="A16:E16"/>
    <mergeCell ref="A11:E11"/>
    <mergeCell ref="A1:E1"/>
    <mergeCell ref="A32:E32"/>
    <mergeCell ref="A18:E18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38" customWidth="1" min="4" max="4"/>
    <col width="18" customWidth="1" min="5" max="5"/>
  </cols>
  <sheetData>
    <row r="1" ht="45" customHeight="1">
      <c r="A1" s="61" t="inlineStr">
        <is>
          <t>💰  DASHBOARD 2: SALARY ANALYSIS — Step-by-Step Tutorial</t>
        </is>
      </c>
    </row>
    <row r="2">
      <c r="A2" s="49" t="inlineStr">
        <is>
          <t>Goal: Analyze salary distribution, top earners, gender pay gap, and education vs pay</t>
        </is>
      </c>
    </row>
    <row r="4" ht="25" customHeight="1">
      <c r="A4" s="62" t="inlineStr">
        <is>
          <t>STEP 1: CREATE SALARY RANGE BUCKETS</t>
        </is>
      </c>
    </row>
    <row r="5" ht="35" customHeight="1">
      <c r="A5" s="51" t="inlineStr">
        <is>
          <t>Step 1</t>
        </is>
      </c>
      <c r="B5" s="52" t="inlineStr">
        <is>
          <t>Create Salary Ranges</t>
        </is>
      </c>
      <c r="C5" s="37" t="inlineStr">
        <is>
          <t>In a new 'Salary Summary' sheet:
A1: Salary Range, B1: Count
A2: &lt; $30K, A3: $30K-$60K, A4: $60K-$90K
A5: $90K-$120K, A6: $120K+</t>
        </is>
      </c>
      <c r="D5" s="53" t="n"/>
      <c r="E5" s="54" t="inlineStr">
        <is>
          <t>Labels ready ✅</t>
        </is>
      </c>
    </row>
    <row r="6" ht="35" customHeight="1">
      <c r="A6" s="51" t="inlineStr">
        <is>
          <t>Step 2</t>
        </is>
      </c>
      <c r="B6" s="52" t="inlineStr">
        <is>
          <t>COUNTIFS for Ranges</t>
        </is>
      </c>
      <c r="C6" s="33" t="inlineStr">
        <is>
          <t>B2: =COUNTIFS('Employee Data'!G:G,"&gt;=0",'Employee Data'!G:G,"&lt;30000")
B3: =COUNTIFS('Employee Data'!G:G,"&gt;=30000",'Employee Data'!G:G,"&lt;60000")
Continue for each range...</t>
        </is>
      </c>
      <c r="D6" s="57">
        <f>COUNTIFS('Employee Data'!G:G,"&gt;=0",'Employee Data'!G:G,"&lt;30000")</f>
        <v/>
      </c>
      <c r="E6" s="54" t="inlineStr">
        <is>
          <t>Counts per range ✅</t>
        </is>
      </c>
    </row>
    <row r="7" ht="35" customHeight="1">
      <c r="A7" s="51" t="inlineStr">
        <is>
          <t>Step 3</t>
        </is>
      </c>
      <c r="B7" s="52" t="inlineStr">
        <is>
          <t>Gender Pay Gap</t>
        </is>
      </c>
      <c r="C7" s="37" t="inlineStr">
        <is>
          <t>D1: Gender, E1: Avg Salary
D2: Male, D3: Female
E2: =AVERAGEIF('Employee Data'!C:C,"Male",'Employee Data'!G:G)
E3: =AVERAGEIF('Employee Data'!C:C,"Female",'Employee Data'!G:G)</t>
        </is>
      </c>
      <c r="D7" s="57">
        <f>AVERAGEIF('Employee Data'!C:C,"Male",'Employee Data'!G:G)</f>
        <v/>
      </c>
      <c r="E7" s="54" t="inlineStr">
        <is>
          <t>Shows pay gap ✅</t>
        </is>
      </c>
    </row>
    <row r="8" ht="35" customHeight="1">
      <c r="A8" s="51" t="inlineStr">
        <is>
          <t>Step 4</t>
        </is>
      </c>
      <c r="B8" s="52" t="inlineStr">
        <is>
          <t>Top 15 Earners Table</t>
        </is>
      </c>
      <c r="C8" s="33" t="inlineStr">
        <is>
          <t>Create a LARGE or SORT formula:
Use: =LARGE('Employee Data'!G:G, ROW()-1)
Or manually sort by salary descending
Copy top 15 rows to a new range</t>
        </is>
      </c>
      <c r="D8" s="57">
        <f>LARGE('Employee Data'!G:G,1)</f>
        <v/>
      </c>
      <c r="E8" s="54" t="inlineStr">
        <is>
          <t>Top salaries listed ✅</t>
        </is>
      </c>
    </row>
    <row r="9" ht="35" customHeight="1">
      <c r="A9" s="51" t="inlineStr">
        <is>
          <t>Step 5</t>
        </is>
      </c>
      <c r="B9" s="52" t="inlineStr">
        <is>
          <t>Education vs Salary</t>
        </is>
      </c>
      <c r="C9" s="37" t="inlineStr">
        <is>
          <t>List all 5 education types
For each: =AVERAGEIF('Employee Data'!D:D,K2,'Employee Data'!G:G)
This shows if MBA earns more than Bachelor's Degree</t>
        </is>
      </c>
      <c r="D9" s="57">
        <f>AVERAGEIF('Employee Data'!D:D,K2,'Employee Data'!G:G)</f>
        <v/>
      </c>
      <c r="E9" s="54" t="inlineStr">
        <is>
          <t>Education pay levels ✅</t>
        </is>
      </c>
    </row>
    <row r="10" ht="30" customHeight="1">
      <c r="A10" s="55" t="inlineStr">
        <is>
          <t>💡 TIP: COUNTIFS is your most powerful counting tool. It can count rows meeting ANY number of conditions simultaneously!</t>
        </is>
      </c>
      <c r="B10" s="23" t="n"/>
      <c r="C10" s="23" t="n"/>
      <c r="D10" s="23" t="n"/>
      <c r="E10" s="21" t="n"/>
    </row>
    <row r="12" ht="25" customHeight="1">
      <c r="A12" s="63" t="inlineStr">
        <is>
          <t>STEP 2: BUILD SALARY CHARTS</t>
        </is>
      </c>
    </row>
    <row r="13" ht="35" customHeight="1">
      <c r="A13" s="51" t="inlineStr">
        <is>
          <t>Step 6</t>
        </is>
      </c>
      <c r="B13" s="52" t="inlineStr">
        <is>
          <t>Salary Distribution Chart</t>
        </is>
      </c>
      <c r="C13" s="37" t="inlineStr">
        <is>
          <t>Select Salary Range + Count (A1:B6)
Insert → Column Chart → Clustered Column
Title: 'Salary Distribution'
Format data bars with gradient fill from green to red</t>
        </is>
      </c>
      <c r="D13" s="53" t="n"/>
      <c r="E13" s="54" t="inlineStr">
        <is>
          <t>Distribution visible ✅</t>
        </is>
      </c>
    </row>
    <row r="14" ht="35" customHeight="1">
      <c r="A14" s="51" t="inlineStr">
        <is>
          <t>Step 7</t>
        </is>
      </c>
      <c r="B14" s="52" t="inlineStr">
        <is>
          <t>Gender Pay Gap Bar</t>
        </is>
      </c>
      <c r="C14" s="58" t="inlineStr">
        <is>
          <t>Select D1:E3 (Gender + Avg Salary)
Insert → Bar Chart
Add data labels to show exact $ amounts
Color Male bars = blue, Female bars = pink/purple</t>
        </is>
      </c>
      <c r="D14" s="53" t="n"/>
      <c r="E14" s="54" t="inlineStr">
        <is>
          <t>Pay gap visualized ✅</t>
        </is>
      </c>
    </row>
    <row r="15" ht="35" customHeight="1">
      <c r="A15" s="51" t="inlineStr">
        <is>
          <t>Step 8</t>
        </is>
      </c>
      <c r="B15" s="52" t="inlineStr">
        <is>
          <t>Education Salary Bar</t>
        </is>
      </c>
      <c r="C15" s="37" t="inlineStr">
        <is>
          <t>Select K1:L6 (Education + Avg Salary)
Insert → Bar Chart → Horizontal
Sort bars by value: Right-click → Sort → Highest to Lowest
Title: 'Avg Salary by Education'</t>
        </is>
      </c>
      <c r="D15" s="53" t="n"/>
      <c r="E15" s="54" t="inlineStr">
        <is>
          <t>Education ranking ✅</t>
        </is>
      </c>
    </row>
    <row r="16" ht="30" customHeight="1">
      <c r="A16" s="55" t="inlineStr">
        <is>
          <t>💡 TIP: To add $ data labels on charts: Click chart → + button (Chart Elements) → Data Labels → More Options → Number Format → Currency</t>
        </is>
      </c>
      <c r="B16" s="23" t="n"/>
      <c r="C16" s="23" t="n"/>
      <c r="D16" s="23" t="n"/>
      <c r="E16" s="21" t="n"/>
    </row>
    <row r="18" ht="25" customHeight="1">
      <c r="A18" s="44" t="inlineStr">
        <is>
          <t>STEP 3: CONDITIONAL FORMATTING</t>
        </is>
      </c>
    </row>
    <row r="19" ht="35" customHeight="1">
      <c r="A19" s="51" t="inlineStr">
        <is>
          <t>Step 9</t>
        </is>
      </c>
      <c r="B19" s="52" t="inlineStr">
        <is>
          <t>Color Scale on Salaries</t>
        </is>
      </c>
      <c r="C19" s="37" t="inlineStr">
        <is>
          <t>Select all salary values on dashboard table
Home → Conditional Formatting → Color Scales
Choose: Red-Yellow-Green (low=red, high=green)
Now you instantly see high vs low salaries!</t>
        </is>
      </c>
      <c r="D19" s="53" t="n"/>
      <c r="E19" s="54" t="inlineStr">
        <is>
          <t>Color gradient applied ✅</t>
        </is>
      </c>
    </row>
    <row r="20" ht="35" customHeight="1">
      <c r="A20" s="51" t="inlineStr">
        <is>
          <t>Step 10</t>
        </is>
      </c>
      <c r="B20" s="52" t="inlineStr">
        <is>
          <t>Data Bars on Count Column</t>
        </is>
      </c>
      <c r="C20" s="64" t="inlineStr">
        <is>
          <t>Select the Count column in salary ranges
Home → Conditional Formatting → Data Bars → Blue
Bars grow wider for higher counts — like a mini chart in cells!</t>
        </is>
      </c>
      <c r="D20" s="53" t="n"/>
      <c r="E20" s="54" t="inlineStr">
        <is>
          <t>Data bars applied ✅</t>
        </is>
      </c>
    </row>
    <row r="21" ht="35" customHeight="1">
      <c r="A21" s="51" t="inlineStr">
        <is>
          <t>Step 11</t>
        </is>
      </c>
      <c r="B21" s="52" t="inlineStr">
        <is>
          <t>Icon Sets for Ranking</t>
        </is>
      </c>
      <c r="C21" s="37" t="inlineStr">
        <is>
          <t>Select the salary values in top-15 table
Home → Conditional Formatting → Icon Sets → 3 Arrows
Green up arrow = high, yellow sideways = medium, red down = low</t>
        </is>
      </c>
      <c r="D21" s="53" t="n"/>
      <c r="E21" s="54" t="inlineStr">
        <is>
          <t>Icons applied ✅</t>
        </is>
      </c>
    </row>
    <row r="22" ht="30" customHeight="1">
      <c r="A22" s="55" t="inlineStr">
        <is>
          <t>💡 TIP: Conditional Formatting is one of Excel's most powerful features! Use it to highlight outliers, top performers, and trends without any charts.</t>
        </is>
      </c>
      <c r="B22" s="23" t="n"/>
      <c r="C22" s="23" t="n"/>
      <c r="D22" s="23" t="n"/>
      <c r="E22" s="21" t="n"/>
    </row>
  </sheetData>
  <mergeCells count="8">
    <mergeCell ref="A12:E12"/>
    <mergeCell ref="A4:E4"/>
    <mergeCell ref="A2:E2"/>
    <mergeCell ref="A16:E16"/>
    <mergeCell ref="A10:E10"/>
    <mergeCell ref="A1:E1"/>
    <mergeCell ref="A22:E22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235A"/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38" customWidth="1" min="4" max="4"/>
    <col width="18" customWidth="1" min="5" max="5"/>
  </cols>
  <sheetData>
    <row r="1" ht="45" customHeight="1">
      <c r="A1" s="65" t="inlineStr">
        <is>
          <t>👥  DASHBOARD 3: DEMOGRAPHICS — Step-by-Step Tutorial</t>
        </is>
      </c>
    </row>
    <row r="2">
      <c r="A2" s="49" t="inlineStr">
        <is>
          <t>Goal: Visualize age distribution, gender ratios, and education profiles of the workforce</t>
        </is>
      </c>
    </row>
    <row r="4" ht="25" customHeight="1">
      <c r="A4" s="66" t="inlineStr">
        <is>
          <t>STEP 1: AGE GROUP ANALYSIS</t>
        </is>
      </c>
    </row>
    <row r="5" ht="35" customHeight="1">
      <c r="A5" s="51" t="inlineStr">
        <is>
          <t>Step 1</t>
        </is>
      </c>
      <c r="B5" s="52" t="inlineStr">
        <is>
          <t>Create Age Group Column</t>
        </is>
      </c>
      <c r="C5" s="37" t="inlineStr">
        <is>
          <t>In Employee Data sheet, add column I: 'Age Group'
I2: =IF(H2&lt;30,"20s",IF(H2&lt;40,"30s",IF(H2&lt;50,"40s",IF(H2&lt;60,"50s","60+"))))
Drag down to all rows</t>
        </is>
      </c>
      <c r="D5" s="57">
        <f>IF(H2&lt;30,"20s",IF(H2&lt;40,"30s",IF(H2&lt;50,"40s","50+")))</f>
        <v/>
      </c>
      <c r="E5" s="54" t="inlineStr">
        <is>
          <t>Age group labels ✅</t>
        </is>
      </c>
    </row>
    <row r="6" ht="35" customHeight="1">
      <c r="A6" s="51" t="inlineStr">
        <is>
          <t>Step 2</t>
        </is>
      </c>
      <c r="B6" s="52" t="inlineStr">
        <is>
          <t>Count by Age Group</t>
        </is>
      </c>
      <c r="C6" s="60" t="inlineStr">
        <is>
          <t>In Summary sheet:
A1: Age Group, B1: Count
A2:A6 → type the groups: 20-29, 30-39, 40-49, 50-59, 60+
B2: =COUNTIFS('Employee Data'!H:H,"&gt;=20",'Employee Data'!H:H,"&lt;30")</t>
        </is>
      </c>
      <c r="D6" s="57">
        <f>COUNTIFS('Employee Data'!H:H,"&gt;=20",'Employee Data'!H:H,"&lt;30")</f>
        <v/>
      </c>
      <c r="E6" s="54" t="inlineStr">
        <is>
          <t>Age distribution ✅</t>
        </is>
      </c>
    </row>
    <row r="7" ht="35" customHeight="1">
      <c r="A7" s="51" t="inlineStr">
        <is>
          <t>Step 3</t>
        </is>
      </c>
      <c r="B7" s="52" t="inlineStr">
        <is>
          <t>Gender Split by Age</t>
        </is>
      </c>
      <c r="C7" s="37" t="inlineStr">
        <is>
          <t>Build a 2-column table:
Male 20s: =COUNTIFS(C:C,"Male",H:H,"&gt;=20",H:H,"&lt;30")
Female 20s: =COUNTIFS(C:C,"Female",H:H,"&gt;=20",H:H,"&lt;30")
Repeat for each age group</t>
        </is>
      </c>
      <c r="D7" s="57">
        <f>COUNTIFS(C:C,"Male",H:H,"&gt;=20",H:H,"&lt;30")</f>
        <v/>
      </c>
      <c r="E7" s="54" t="inlineStr">
        <is>
          <t>Gender+age matrix ✅</t>
        </is>
      </c>
    </row>
    <row r="8" ht="35" customHeight="1">
      <c r="A8" s="51" t="inlineStr">
        <is>
          <t>Step 4</t>
        </is>
      </c>
      <c r="B8" s="52" t="inlineStr">
        <is>
          <t>Education Distribution</t>
        </is>
      </c>
      <c r="C8" s="60" t="inlineStr">
        <is>
          <t>Count each education level:
=COUNTIF('Employee Data'!D:D,"Bachelor's Degree")
=COUNTIF('Employee Data'!D:D,"MBA")
Etc. for Diploma, Associate's, PhD</t>
        </is>
      </c>
      <c r="D8" s="57">
        <f>COUNTIF('Employee Data'!D:D,D2)</f>
        <v/>
      </c>
      <c r="E8" s="54" t="inlineStr">
        <is>
          <t>Education counts ✅</t>
        </is>
      </c>
    </row>
    <row r="9" ht="30" customHeight="1">
      <c r="A9" s="55" t="inlineStr">
        <is>
          <t>💡 TIP: Nested IF formula tip: Excel allows up to 64 nested IFs, but use IFS() instead for cleaner, easier-to-read formulas in Excel 2019+!</t>
        </is>
      </c>
      <c r="B9" s="23" t="n"/>
      <c r="C9" s="23" t="n"/>
      <c r="D9" s="23" t="n"/>
      <c r="E9" s="21" t="n"/>
    </row>
    <row r="11" ht="25" customHeight="1">
      <c r="A11" s="67" t="inlineStr">
        <is>
          <t>STEP 2: STACKED BAR CHART (KEY SKILL!)</t>
        </is>
      </c>
    </row>
    <row r="12" ht="35" customHeight="1">
      <c r="A12" s="51" t="inlineStr">
        <is>
          <t>Step 5</t>
        </is>
      </c>
      <c r="B12" s="52" t="inlineStr">
        <is>
          <t>Select Gender+Age Data</t>
        </is>
      </c>
      <c r="C12" s="60" t="inlineStr">
        <is>
          <t>Select your gender-by-age-group table (3 columns: Age, Male, Female)
This gives us the data for a stacked bar</t>
        </is>
      </c>
      <c r="D12" s="53" t="n"/>
      <c r="E12" s="54" t="inlineStr">
        <is>
          <t>Data selected ✅</t>
        </is>
      </c>
    </row>
    <row r="13" ht="35" customHeight="1">
      <c r="A13" s="51" t="inlineStr">
        <is>
          <t>Step 6</t>
        </is>
      </c>
      <c r="B13" s="52" t="inlineStr">
        <is>
          <t>Insert Stacked Bar</t>
        </is>
      </c>
      <c r="C13" s="37" t="inlineStr">
        <is>
          <t>Insert tab → Bar Chart → Stacked Column
This stacks Male + Female on the same bar
Total bar height = total employees in that age group</t>
        </is>
      </c>
      <c r="D13" s="53" t="n"/>
      <c r="E13" s="54" t="inlineStr">
        <is>
          <t>Stacked chart inserted ✅</t>
        </is>
      </c>
    </row>
    <row r="14" ht="35" customHeight="1">
      <c r="A14" s="51" t="inlineStr">
        <is>
          <t>Step 7</t>
        </is>
      </c>
      <c r="B14" s="52" t="inlineStr">
        <is>
          <t>Add Chart Title + Legend</t>
        </is>
      </c>
      <c r="C14" s="60" t="inlineStr">
        <is>
          <t>Click chart title → type 'Gender Split by Age Group'
Chart Elements (+) → check Legend → position at Bottom
This shows which color = Male, which = Female</t>
        </is>
      </c>
      <c r="D14" s="53" t="n"/>
      <c r="E14" s="54" t="inlineStr">
        <is>
          <t>Title + legend added ✅</t>
        </is>
      </c>
    </row>
    <row r="15" ht="35" customHeight="1">
      <c r="A15" s="51" t="inlineStr">
        <is>
          <t>Step 8</t>
        </is>
      </c>
      <c r="B15" s="52" t="inlineStr">
        <is>
          <t>Change Series Colors</t>
        </is>
      </c>
      <c r="C15" s="37" t="inlineStr">
        <is>
          <t>Click on Male bars → right-click → Format Data Series
→ Fill → Solid Fill → choose Blue (#2E86C1)
Click Female bars → choose Purple (#7D3C98)</t>
        </is>
      </c>
      <c r="D15" s="53" t="n"/>
      <c r="E15" s="54" t="inlineStr">
        <is>
          <t>Colors assigned ✅</t>
        </is>
      </c>
    </row>
    <row r="16" ht="35" customHeight="1">
      <c r="A16" s="51" t="inlineStr">
        <is>
          <t>Step 9</t>
        </is>
      </c>
      <c r="B16" s="52" t="inlineStr">
        <is>
          <t>Format Value Axis</t>
        </is>
      </c>
      <c r="C16" s="60" t="inlineStr">
        <is>
          <t>Click Y-axis numbers → right-click → Format Axis
Set minimum: 0, Maximum: auto
Number format: 0 (no decimals for count data)</t>
        </is>
      </c>
      <c r="D16" s="53" t="n"/>
      <c r="E16" s="54" t="inlineStr">
        <is>
          <t>Clean axis labels ✅</t>
        </is>
      </c>
    </row>
    <row r="17" ht="30" customHeight="1">
      <c r="A17" s="55" t="inlineStr">
        <is>
          <t>💡 TIP: Stacked charts are perfect for showing part-to-whole relationships. Use 100% stacked bars when you want to compare proportions across groups!</t>
        </is>
      </c>
      <c r="B17" s="23" t="n"/>
      <c r="C17" s="23" t="n"/>
      <c r="D17" s="23" t="n"/>
      <c r="E17" s="21" t="n"/>
    </row>
  </sheetData>
  <mergeCells count="6">
    <mergeCell ref="A4:E4"/>
    <mergeCell ref="A2:E2"/>
    <mergeCell ref="A11:E11"/>
    <mergeCell ref="A1:E1"/>
    <mergeCell ref="A17:E17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4F72"/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38" customWidth="1" min="4" max="4"/>
    <col width="18" customWidth="1" min="5" max="5"/>
  </cols>
  <sheetData>
    <row r="1" ht="45" customHeight="1">
      <c r="A1" s="68" t="inlineStr">
        <is>
          <t>💼  DASHBOARD 4: JOB TITLE — Step-by-Step Tutorial</t>
        </is>
      </c>
    </row>
    <row r="2">
      <c r="A2" s="49" t="inlineStr">
        <is>
          <t>Goal: Analyze headcount by role, identify salary leaders, and visualize gender mix per job</t>
        </is>
      </c>
    </row>
    <row r="4" ht="25" customHeight="1">
      <c r="A4" s="56" t="inlineStr">
        <is>
          <t>STEP 1: PIVOT TABLE (THE EXCEL SUPERPOWER)</t>
        </is>
      </c>
    </row>
    <row r="5" ht="35" customHeight="1">
      <c r="A5" s="51" t="inlineStr">
        <is>
          <t>Step 1</t>
        </is>
      </c>
      <c r="B5" s="52" t="inlineStr">
        <is>
          <t>Create a Pivot Table</t>
        </is>
      </c>
      <c r="C5" s="37" t="inlineStr">
        <is>
          <t>Click anywhere in Employee Data → Insert tab → PivotTable
Choose 'New Worksheet' → Click OK
A blank Pivot Table appears with a field list on the right</t>
        </is>
      </c>
      <c r="D5" s="53" t="n"/>
      <c r="E5" s="54" t="inlineStr">
        <is>
          <t>Pivot Table ready ✅</t>
        </is>
      </c>
    </row>
    <row r="6" ht="35" customHeight="1">
      <c r="A6" s="51" t="inlineStr">
        <is>
          <t>Step 2</t>
        </is>
      </c>
      <c r="B6" s="52" t="inlineStr">
        <is>
          <t>Configure Pivot Table</t>
        </is>
      </c>
      <c r="C6" s="33" t="inlineStr">
        <is>
          <t>From the field list on the right:
→ Drag 'Job Title' to ROWS
→ Drag 'Salary' to VALUES (it auto-sums)
→ Drag 'Name' to VALUES (change to Count)
Now you have headcount + total salary per job!</t>
        </is>
      </c>
      <c r="D6" s="53" t="n"/>
      <c r="E6" s="54" t="inlineStr">
        <is>
          <t>Pivot configured ✅</t>
        </is>
      </c>
    </row>
    <row r="7" ht="35" customHeight="1">
      <c r="A7" s="51" t="inlineStr">
        <is>
          <t>Step 3</t>
        </is>
      </c>
      <c r="B7" s="52" t="inlineStr">
        <is>
          <t>Change to Average Salary</t>
        </is>
      </c>
      <c r="C7" s="37" t="inlineStr">
        <is>
          <t>Click 'Sum of Salary' in the VALUES box
→ Value Field Settings → Summarize by: Average → OK
Now it shows AVERAGE salary per job title (not sum)</t>
        </is>
      </c>
      <c r="D7" s="53" t="n"/>
      <c r="E7" s="54" t="inlineStr">
        <is>
          <t>Avg salary per role ✅</t>
        </is>
      </c>
    </row>
    <row r="8" ht="35" customHeight="1">
      <c r="A8" s="51" t="inlineStr">
        <is>
          <t>Step 4</t>
        </is>
      </c>
      <c r="B8" s="52" t="inlineStr">
        <is>
          <t>Sort Pivot Table</t>
        </is>
      </c>
      <c r="C8" s="33" t="inlineStr">
        <is>
          <t>Click any cell in the Count column
Data tab → Sort Largest to Smallest
Now top job titles by headcount are at the top</t>
        </is>
      </c>
      <c r="D8" s="53" t="n"/>
      <c r="E8" s="54" t="inlineStr">
        <is>
          <t>Sorted by headcount ✅</t>
        </is>
      </c>
    </row>
    <row r="9" ht="35" customHeight="1">
      <c r="A9" s="51" t="inlineStr">
        <is>
          <t>Step 5</t>
        </is>
      </c>
      <c r="B9" s="52" t="inlineStr">
        <is>
          <t>Insert Pivot Chart</t>
        </is>
      </c>
      <c r="C9" s="37" t="inlineStr">
        <is>
          <t>Click anywhere in your Pivot Table
Insert tab → PivotChart → Bar Chart (horizontal)
This chart auto-updates when data changes!</t>
        </is>
      </c>
      <c r="D9" s="53" t="n"/>
      <c r="E9" s="54" t="inlineStr">
        <is>
          <t>Pivot Chart created ✅</t>
        </is>
      </c>
    </row>
    <row r="10" ht="30" customHeight="1">
      <c r="A10" s="55" t="inlineStr">
        <is>
          <t>💡 TIP: Pivot Tables are Excel's #1 data analysis tool! They summarize thousands of rows in seconds. Right-click → Refresh to update after data changes.</t>
        </is>
      </c>
      <c r="B10" s="23" t="n"/>
      <c r="C10" s="23" t="n"/>
      <c r="D10" s="23" t="n"/>
      <c r="E10" s="21" t="n"/>
    </row>
    <row r="12" ht="25" customHeight="1">
      <c r="A12" s="44" t="inlineStr">
        <is>
          <t>STEP 2: SLICERS — INTERACTIVE FILTERING</t>
        </is>
      </c>
    </row>
    <row r="13" ht="35" customHeight="1">
      <c r="A13" s="51" t="inlineStr">
        <is>
          <t>Step 6</t>
        </is>
      </c>
      <c r="B13" s="52" t="inlineStr">
        <is>
          <t>Add a Slicer</t>
        </is>
      </c>
      <c r="C13" s="37" t="inlineStr">
        <is>
          <t>Click inside your Pivot Table
PivotTable Analyze tab → Insert Slicer
Check: Gender → OK
A clickable gender filter button appears!</t>
        </is>
      </c>
      <c r="D13" s="53" t="n"/>
      <c r="E13" s="54" t="inlineStr">
        <is>
          <t>Slicer inserted ✅</t>
        </is>
      </c>
    </row>
    <row r="14" ht="35" customHeight="1">
      <c r="A14" s="51" t="inlineStr">
        <is>
          <t>Step 7</t>
        </is>
      </c>
      <c r="B14" s="52" t="inlineStr">
        <is>
          <t>Style the Slicer</t>
        </is>
      </c>
      <c r="C14" s="64" t="inlineStr">
        <is>
          <t>Click the slicer
Slicer tab → choose a slicer style (colors)
Resize by dragging corners
Position it neatly next to your chart on the dashboard</t>
        </is>
      </c>
      <c r="D14" s="53" t="n"/>
      <c r="E14" s="54" t="inlineStr">
        <is>
          <t>Slicer styled ✅</t>
        </is>
      </c>
    </row>
    <row r="15" ht="35" customHeight="1">
      <c r="A15" s="51" t="inlineStr">
        <is>
          <t>Step 8</t>
        </is>
      </c>
      <c r="B15" s="52" t="inlineStr">
        <is>
          <t>Connect to Multiple Charts</t>
        </is>
      </c>
      <c r="C15" s="37" t="inlineStr">
        <is>
          <t>If you have 2 Pivot Charts from the same data:
Right-click slicer → Report Connections
Check both Pivot Tables → OK
Now one click filters ALL charts!</t>
        </is>
      </c>
      <c r="D15" s="53" t="n"/>
      <c r="E15" s="54" t="inlineStr">
        <is>
          <t>Slicer controls all charts ✅</t>
        </is>
      </c>
    </row>
    <row r="16" ht="35" customHeight="1">
      <c r="A16" s="51" t="inlineStr">
        <is>
          <t>Step 9</t>
        </is>
      </c>
      <c r="B16" s="52" t="inlineStr">
        <is>
          <t>Add Education Slicer</t>
        </is>
      </c>
      <c r="C16" s="64" t="inlineStr">
        <is>
          <t>Repeat: Insert Slicer → Check 'Education'
Now you can filter by both Gender AND Education
Click Male + Bachelor's → charts update instantly!</t>
        </is>
      </c>
      <c r="D16" s="53" t="n"/>
      <c r="E16" s="54" t="inlineStr">
        <is>
          <t>Interactive dashboard! ✅</t>
        </is>
      </c>
    </row>
    <row r="17" ht="30" customHeight="1">
      <c r="A17" s="55" t="inlineStr">
        <is>
          <t>💡 TIP: Slicers transform a static dashboard into an interactive one! They're the easiest way to add filtering without any code.</t>
        </is>
      </c>
      <c r="B17" s="23" t="n"/>
      <c r="C17" s="23" t="n"/>
      <c r="D17" s="23" t="n"/>
      <c r="E17" s="21" t="n"/>
    </row>
  </sheetData>
  <mergeCells count="6">
    <mergeCell ref="A12:E12"/>
    <mergeCell ref="A4:E4"/>
    <mergeCell ref="A2:E2"/>
    <mergeCell ref="A10:E10"/>
    <mergeCell ref="A1:E1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8449"/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38" customWidth="1" min="4" max="4"/>
    <col width="18" customWidth="1" min="5" max="5"/>
  </cols>
  <sheetData>
    <row r="1" ht="45" customHeight="1">
      <c r="A1" s="69" t="inlineStr">
        <is>
          <t>📅  DASHBOARD 5: TENURE &amp; HIRING TRENDS — Step-by-Step Tutorial</t>
        </is>
      </c>
    </row>
    <row r="2">
      <c r="A2" s="49" t="inlineStr">
        <is>
          <t>Goal: Track hiring history, analyze employee tenure, and find retention patterns</t>
        </is>
      </c>
    </row>
    <row r="4" ht="25" customHeight="1">
      <c r="A4" s="63" t="inlineStr">
        <is>
          <t>STEP 1: DATE FUNCTIONS &amp; TENURE CALCULATION</t>
        </is>
      </c>
    </row>
    <row r="5" ht="35" customHeight="1">
      <c r="A5" s="51" t="inlineStr">
        <is>
          <t>Step 1</t>
        </is>
      </c>
      <c r="B5" s="52" t="inlineStr">
        <is>
          <t>Extract Year from Date</t>
        </is>
      </c>
      <c r="C5" s="37" t="inlineStr">
        <is>
          <t>Add a new column 'Join Year' in Employee Data
I2: =YEAR(E2)    [if E is Date of Join]
Drag down to all 916 rows
Now you can count hires per year!</t>
        </is>
      </c>
      <c r="D5" s="57">
        <f>YEAR(E2)</f>
        <v/>
      </c>
      <c r="E5" s="54" t="inlineStr">
        <is>
          <t>Year extracted ✅</t>
        </is>
      </c>
    </row>
    <row r="6" ht="35" customHeight="1">
      <c r="A6" s="51" t="inlineStr">
        <is>
          <t>Step 2</t>
        </is>
      </c>
      <c r="B6" s="52" t="inlineStr">
        <is>
          <t>Calculate Tenure in Years</t>
        </is>
      </c>
      <c r="C6" s="58" t="inlineStr">
        <is>
          <t>Add column 'Tenure Years':
J2: =DATEDIF(E2,TODAY(),"Y")
OR: J2: =INT((TODAY()-E2)/365.25)
This gives years of service for each employee</t>
        </is>
      </c>
      <c r="D6" s="57">
        <f>DATEDIF(E2,TODAY(),"Y")</f>
        <v/>
      </c>
      <c r="E6" s="54" t="inlineStr">
        <is>
          <t>Tenure calculated ✅</t>
        </is>
      </c>
    </row>
    <row r="7" ht="35" customHeight="1">
      <c r="A7" s="51" t="inlineStr">
        <is>
          <t>Step 3</t>
        </is>
      </c>
      <c r="B7" s="52" t="inlineStr">
        <is>
          <t>Tenure Category with IF</t>
        </is>
      </c>
      <c r="C7" s="37" t="inlineStr">
        <is>
          <t>Add column 'Tenure Group':
K2: =IFS(J2&lt;1,"&lt; 1 Year",J2&lt;3,"1-3 Years",
J2&lt;5,"3-5 Years",J2&lt;10,"5-10 Years",TRUE,"10+ Years")
Drag down to all rows</t>
        </is>
      </c>
      <c r="D7" s="57">
        <f>IFS(J2&lt;1,"New",J2&lt;3,"Junior",J2&lt;5,"Mid",TRUE,"Senior")</f>
        <v/>
      </c>
      <c r="E7" s="54" t="inlineStr">
        <is>
          <t>Tenure groups labeled ✅</t>
        </is>
      </c>
    </row>
    <row r="8" ht="35" customHeight="1">
      <c r="A8" s="51" t="inlineStr">
        <is>
          <t>Step 4</t>
        </is>
      </c>
      <c r="B8" s="52" t="inlineStr">
        <is>
          <t>Count Hires by Year</t>
        </is>
      </c>
      <c r="C8" s="58" t="inlineStr">
        <is>
          <t>In Summary sheet:
F1: Year, G1: Hires
List years: 2000, 2001, ..., 2024
G2: =COUNTIF('Employee Data'!I:I, F2)
Drag formula down for all years</t>
        </is>
      </c>
      <c r="D8" s="57">
        <f>COUNTIF('Employee Data'!I:I,F2)</f>
        <v/>
      </c>
      <c r="E8" s="54" t="inlineStr">
        <is>
          <t>Annual hire counts ✅</t>
        </is>
      </c>
    </row>
    <row r="9" ht="35" customHeight="1">
      <c r="A9" s="51" t="inlineStr">
        <is>
          <t>Step 5</t>
        </is>
      </c>
      <c r="B9" s="52" t="inlineStr">
        <is>
          <t>Avg Salary by Tenure</t>
        </is>
      </c>
      <c r="C9" s="37" t="inlineStr">
        <is>
          <t>H1: Tenure Group, I1: Avg Salary
List tenure groups in H2:H6
I2: =AVERAGEIF('Employee Data'!K:K,H2,'Employee Data'!G:G)
Drag down — shows if longer tenure = higher pay</t>
        </is>
      </c>
      <c r="D9" s="57">
        <f>AVERAGEIF('Employee Data'!K:K,H2,'Employee Data'!G:G)</f>
        <v/>
      </c>
      <c r="E9" s="54" t="inlineStr">
        <is>
          <t>Tenure vs pay revealed ✅</t>
        </is>
      </c>
    </row>
    <row r="10" ht="30" customHeight="1">
      <c r="A10" s="55" t="inlineStr">
        <is>
          <t>💡 TIP: DATEDIF is a hidden Excel function — it's not in autocomplete! It calculates difference between dates in Years, Months, or Days.</t>
        </is>
      </c>
      <c r="B10" s="23" t="n"/>
      <c r="C10" s="23" t="n"/>
      <c r="D10" s="23" t="n"/>
      <c r="E10" s="21" t="n"/>
    </row>
    <row r="12" ht="25" customHeight="1">
      <c r="A12" s="28" t="inlineStr">
        <is>
          <t>STEP 2: LINE CHART FOR TRENDS</t>
        </is>
      </c>
    </row>
    <row r="13" ht="35" customHeight="1">
      <c r="A13" s="51" t="inlineStr">
        <is>
          <t>Step 6</t>
        </is>
      </c>
      <c r="B13" s="52" t="inlineStr">
        <is>
          <t>Select Year &amp; Hires Data</t>
        </is>
      </c>
      <c r="C13" s="37" t="inlineStr">
        <is>
          <t>Select your Year column + Hires column (F1:G25 or however many years)
Include headers in selection</t>
        </is>
      </c>
      <c r="D13" s="53" t="n"/>
      <c r="E13" s="54" t="inlineStr">
        <is>
          <t>Data selected ✅</t>
        </is>
      </c>
    </row>
    <row r="14" ht="35" customHeight="1">
      <c r="A14" s="51" t="inlineStr">
        <is>
          <t>Step 7</t>
        </is>
      </c>
      <c r="B14" s="52" t="inlineStr">
        <is>
          <t>Insert Line Chart</t>
        </is>
      </c>
      <c r="C14" s="58" t="inlineStr">
        <is>
          <t>Insert tab → Line Chart → Line with Markers
This creates a timeline showing hiring spikes and dips
The X-axis should show years automatically</t>
        </is>
      </c>
      <c r="D14" s="53" t="n"/>
      <c r="E14" s="54" t="inlineStr">
        <is>
          <t>Line chart created ✅</t>
        </is>
      </c>
    </row>
    <row r="15" ht="35" customHeight="1">
      <c r="A15" s="51" t="inlineStr">
        <is>
          <t>Step 8</t>
        </is>
      </c>
      <c r="B15" s="52" t="inlineStr">
        <is>
          <t>Format the Line Chart</t>
        </is>
      </c>
      <c r="C15" s="37" t="inlineStr">
        <is>
          <t>Click the line → right-click → Format Data Series
→ Line color: your brand color
→ Marker: circle, size 8, matching color
→ Smooth line option: check for curvy look</t>
        </is>
      </c>
      <c r="D15" s="53" t="n"/>
      <c r="E15" s="54" t="inlineStr">
        <is>
          <t>Line formatted ✅</t>
        </is>
      </c>
    </row>
    <row r="16" ht="35" customHeight="1">
      <c r="A16" s="51" t="inlineStr">
        <is>
          <t>Step 9</t>
        </is>
      </c>
      <c r="B16" s="52" t="inlineStr">
        <is>
          <t>Add a Trendline</t>
        </is>
      </c>
      <c r="C16" s="58" t="inlineStr">
        <is>
          <t>Click on the line in the chart → right-click
→ Add Trendline → Linear
Check 'Display equation on chart'
This shows the hiring trend direction (up or down over time)</t>
        </is>
      </c>
      <c r="D16" s="53" t="n"/>
      <c r="E16" s="54" t="inlineStr">
        <is>
          <t>Trendline added ✅</t>
        </is>
      </c>
    </row>
    <row r="17" ht="35" customHeight="1">
      <c r="A17" s="51" t="inlineStr">
        <is>
          <t>Step 10</t>
        </is>
      </c>
      <c r="B17" s="52" t="inlineStr">
        <is>
          <t>Label Peak Year</t>
        </is>
      </c>
      <c r="C17" s="37" t="inlineStr">
        <is>
          <t>Click a data point → right-click → Add Data Label
For the highest point, the year + count shows
You can drag the label to a better position</t>
        </is>
      </c>
      <c r="D17" s="53" t="n"/>
      <c r="E17" s="54" t="inlineStr">
        <is>
          <t>Peak year labeled ✅</t>
        </is>
      </c>
    </row>
    <row r="18" ht="30" customHeight="1">
      <c r="A18" s="55" t="inlineStr">
        <is>
          <t>💡 TIP: Line charts are best for showing trends over time. Always put time (years/months) on the X-axis and the measure (count/value) on the Y-axis.</t>
        </is>
      </c>
      <c r="B18" s="23" t="n"/>
      <c r="C18" s="23" t="n"/>
      <c r="D18" s="23" t="n"/>
      <c r="E18" s="21" t="n"/>
    </row>
  </sheetData>
  <mergeCells count="6">
    <mergeCell ref="A12:E12"/>
    <mergeCell ref="A4:E4"/>
    <mergeCell ref="A2:E2"/>
    <mergeCell ref="A10:E10"/>
    <mergeCell ref="A1:E1"/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E5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2" customWidth="1" min="3" max="3"/>
    <col width="38" customWidth="1" min="4" max="4"/>
    <col width="18" customWidth="1" min="5" max="5"/>
  </cols>
  <sheetData>
    <row r="1" ht="42" customHeight="1">
      <c r="A1" s="85" t="inlineStr">
        <is>
          <t>🧑‍💼  DASHBOARD 6: EMPLOYEE PERFORMANCE &amp; INSIGHTS — Step-by-Step Tutorial</t>
        </is>
      </c>
    </row>
    <row r="2" ht="26" customHeight="1">
      <c r="A2" s="86" t="inlineStr">
        <is>
          <t>Goal: Build a full employee insights dashboard with salary bands, top roles, gender×education mix, and age-salary trend</t>
        </is>
      </c>
    </row>
    <row r="3" ht="22" customHeight="1">
      <c r="A3" s="87" t="inlineStr">
        <is>
          <t>📋  WHAT YOU'LL BUILD IN THIS DASHBOARD</t>
        </is>
      </c>
    </row>
    <row r="4" ht="20" customHeight="1">
      <c r="A4" s="88" t="inlineStr">
        <is>
          <t>🟠 7 KPI Cards</t>
        </is>
      </c>
      <c r="B4" s="21" t="n"/>
      <c r="C4" s="89" t="inlineStr">
        <is>
          <t>Headcount, Avg Salary, Total Payroll, Max Salary, Avg Age, Top Education, Gender Ratio</t>
        </is>
      </c>
      <c r="D4" s="23" t="n"/>
      <c r="E4" s="21" t="n"/>
    </row>
    <row r="5" ht="20" customHeight="1">
      <c r="A5" s="88" t="inlineStr">
        <is>
          <t>📊 Salary Band Chart</t>
        </is>
      </c>
      <c r="B5" s="21" t="n"/>
      <c r="C5" s="89" t="inlineStr">
        <is>
          <t>Column chart showing how many employees fall in each salary band</t>
        </is>
      </c>
      <c r="D5" s="23" t="n"/>
      <c r="E5" s="21" t="n"/>
    </row>
    <row r="6" ht="20" customHeight="1">
      <c r="A6" s="88" t="inlineStr">
        <is>
          <t>📊 Top 10 Roles Chart</t>
        </is>
      </c>
      <c r="B6" s="21" t="n"/>
      <c r="C6" s="89" t="inlineStr">
        <is>
          <t>Horizontal bar showing highest-paying job titles</t>
        </is>
      </c>
      <c r="D6" s="23" t="n"/>
      <c r="E6" s="21" t="n"/>
    </row>
    <row r="7" ht="20" customHeight="1">
      <c r="A7" s="88" t="inlineStr">
        <is>
          <t>📊 Gender × Education</t>
        </is>
      </c>
      <c r="B7" s="21" t="n"/>
      <c r="C7" s="89" t="inlineStr">
        <is>
          <t>Clustered column comparing Male/Female per education level</t>
        </is>
      </c>
      <c r="D7" s="23" t="n"/>
      <c r="E7" s="21" t="n"/>
    </row>
    <row r="8" ht="20" customHeight="1">
      <c r="A8" s="88" t="inlineStr">
        <is>
          <t>📈 Age vs Salary Trend</t>
        </is>
      </c>
      <c r="B8" s="21" t="n"/>
      <c r="C8" s="89" t="inlineStr">
        <is>
          <t>Line chart revealing how average salary changes with age</t>
        </is>
      </c>
      <c r="D8" s="23" t="n"/>
      <c r="E8" s="21" t="n"/>
    </row>
    <row r="9" ht="20" customHeight="1">
      <c r="A9" s="88" t="inlineStr">
        <is>
          <t>📋 Salary Band Detail Table</t>
        </is>
      </c>
      <c r="B9" s="21" t="n"/>
      <c r="C9" s="89" t="inlineStr">
        <is>
          <t>Summary table with count, avg, min, max salary per band</t>
        </is>
      </c>
      <c r="D9" s="23" t="n"/>
      <c r="E9" s="21" t="n"/>
    </row>
    <row r="10" ht="24" customHeight="1">
      <c r="A10" s="90" t="inlineStr">
        <is>
          <t>PHASE 1: BUILD THE SUMMARY DATA SHEET</t>
        </is>
      </c>
    </row>
    <row r="11" ht="20" customHeight="1">
      <c r="A11" s="91" t="inlineStr">
        <is>
          <t>Step</t>
        </is>
      </c>
      <c r="B11" s="91" t="inlineStr">
        <is>
          <t>Action</t>
        </is>
      </c>
      <c r="C11" s="91" t="inlineStr">
        <is>
          <t>Instructions</t>
        </is>
      </c>
      <c r="D11" s="91" t="inlineStr">
        <is>
          <t>Formula</t>
        </is>
      </c>
      <c r="E11" s="91" t="inlineStr">
        <is>
          <t>Result</t>
        </is>
      </c>
    </row>
    <row r="12" ht="38" customHeight="1">
      <c r="A12" s="92" t="inlineStr">
        <is>
          <t>Step 1</t>
        </is>
      </c>
      <c r="B12" s="52" t="inlineStr">
        <is>
          <t>Create Summary Sheet</t>
        </is>
      </c>
      <c r="C12" s="33" t="inlineStr">
        <is>
          <t>Right-click any tab → Insert → Worksheet
Rename to 'Summary Data' (double-click tab)</t>
        </is>
      </c>
      <c r="D12" s="53" t="n"/>
      <c r="E12" s="54" t="inlineStr">
        <is>
          <t>New sheet ready ✅</t>
        </is>
      </c>
    </row>
    <row r="13" ht="38" customHeight="1">
      <c r="A13" s="92" t="inlineStr">
        <is>
          <t>Step 2</t>
        </is>
      </c>
      <c r="B13" s="52" t="inlineStr">
        <is>
          <t>Define Salary Bands</t>
        </is>
      </c>
      <c r="C13" s="37" t="inlineStr">
        <is>
          <t>In Summary Data, enter band labels in A2:A6:
  Entry  (&lt; $40K)
  Junior ($40K–$70K)
  Mid ($70K–$100K)
  Senior ($100K–$130K)
  Lead ($130K+)</t>
        </is>
      </c>
      <c r="D13" s="53" t="n"/>
      <c r="E13" s="54" t="inlineStr">
        <is>
          <t>Band labels typed ✅</t>
        </is>
      </c>
    </row>
    <row r="14" ht="38" customHeight="1">
      <c r="A14" s="92" t="inlineStr">
        <is>
          <t>Step 3</t>
        </is>
      </c>
      <c r="B14" s="52" t="inlineStr">
        <is>
          <t>Count Each Salary Band</t>
        </is>
      </c>
      <c r="C14" s="33" t="inlineStr">
        <is>
          <t>In B2: count employees earning &lt; $40K
Copy the pattern down for each band (change the numbers)</t>
        </is>
      </c>
      <c r="D14" s="57">
        <f>COUNTIFS('Employee Data'!G:G,"&gt;=0",'Employee Data'!G:G,"&lt;40000")</f>
        <v/>
      </c>
      <c r="E14" s="54" t="inlineStr">
        <is>
          <t>Entry band count appears ✅</t>
        </is>
      </c>
    </row>
    <row r="15" ht="38" customHeight="1">
      <c r="A15" s="92" t="inlineStr">
        <is>
          <t>Step 4</t>
        </is>
      </c>
      <c r="B15" s="52" t="inlineStr">
        <is>
          <t>Average Salary per Band</t>
        </is>
      </c>
      <c r="C15" s="37" t="inlineStr">
        <is>
          <t>In C2: calculate average salary ONLY for that band
Uses AVERAGEIFS with TWO conditions (low AND high salary boundary)</t>
        </is>
      </c>
      <c r="D15" s="57">
        <f>AVERAGEIFS('Employee Data'!G:G,'Employee Data'!G:G,"&gt;=0",'Employee Data'!G:G,"&lt;40000")</f>
        <v/>
      </c>
      <c r="E15" s="54" t="inlineStr">
        <is>
          <t>Avg salary per band ✅</t>
        </is>
      </c>
    </row>
    <row r="16" ht="38" customHeight="1">
      <c r="A16" s="92" t="inlineStr">
        <is>
          <t>Step 5</t>
        </is>
      </c>
      <c r="B16" s="52" t="inlineStr">
        <is>
          <t>Min &amp; Max per Band</t>
        </is>
      </c>
      <c r="C16" s="33" t="inlineStr">
        <is>
          <t>D2: =MINIFS('Employee Data'!G:G,'Employee Data'!G:G,"&gt;=0",'Employee Data'!G:G,"&lt;40000")
E2: =MAXIFS('Employee Data'!G:G,'Employee Data'!G:G,"&gt;=0",'Employee Data'!G:G,"&lt;40000")
Repeat for all 5 bands — this gives full band range info</t>
        </is>
      </c>
      <c r="D16" s="57">
        <f>MINIFS('Employee Data'!G:G,'Employee Data'!G:G,"&gt;=0",'Employee Data'!G:G,"&lt;40000")</f>
        <v/>
      </c>
      <c r="E16" s="54" t="inlineStr">
        <is>
          <t>Min &amp; max filled ✅</t>
        </is>
      </c>
    </row>
    <row r="17" ht="38" customHeight="1">
      <c r="A17" s="92" t="inlineStr">
        <is>
          <t>Step 6</t>
        </is>
      </c>
      <c r="B17" s="52" t="inlineStr">
        <is>
          <t>Top 10 Roles Avg Salary</t>
        </is>
      </c>
      <c r="C17" s="37" t="inlineStr">
        <is>
          <t>In column G: list 10 job titles you want to compare
In column H: for each title use AVERAGEIF
Then sort the table: select G:H → Data → Sort by Column H → Largest to Smallest</t>
        </is>
      </c>
      <c r="D17" s="57">
        <f>AVERAGEIF('Employee Data'!F:F,G2,'Employee Data'!G:G)</f>
        <v/>
      </c>
      <c r="E17" s="54" t="inlineStr">
        <is>
          <t>Top roles ranked ✅</t>
        </is>
      </c>
    </row>
    <row r="18" ht="38" customHeight="1">
      <c r="A18" s="92" t="inlineStr">
        <is>
          <t>Step 7</t>
        </is>
      </c>
      <c r="B18" s="52" t="inlineStr">
        <is>
          <t>Gender × Education Matrix</t>
        </is>
      </c>
      <c r="C18" s="33" t="inlineStr">
        <is>
          <t>List unique education levels in column J
Column K: count Male employees with that education
Column L: count Female employees with that education
This becomes your clustered bar chart data</t>
        </is>
      </c>
      <c r="D18" s="57">
        <f>COUNTIFS('Employee Data'!D:D,J2,'Employee Data'!C:C,"Male")</f>
        <v/>
      </c>
      <c r="E18" s="54" t="inlineStr">
        <is>
          <t>Gender-edu matrix ✅</t>
        </is>
      </c>
    </row>
    <row r="19" ht="38" customHeight="1">
      <c r="A19" s="92" t="inlineStr">
        <is>
          <t>Step 8</t>
        </is>
      </c>
      <c r="B19" s="52" t="inlineStr">
        <is>
          <t>Age vs Avg Salary</t>
        </is>
      </c>
      <c r="C19" s="37" t="inlineStr">
        <is>
          <t>Column N: list each unique age (20, 21, 22... 65)
Column O: average salary for each age group
Use AVERAGEIF matching the exact age</t>
        </is>
      </c>
      <c r="D19" s="57">
        <f>AVERAGEIF('Employee Data'!H:H,N2,'Employee Data'!G:G)</f>
        <v/>
      </c>
      <c r="E19" s="54" t="inlineStr">
        <is>
          <t>Age-salary data ready ✅</t>
        </is>
      </c>
    </row>
    <row r="20" ht="28" customHeight="1">
      <c r="A20" s="55" t="inlineStr">
        <is>
          <t>💡 TIP: AVERAGEIFS, MINIFS, and MAXIFS all follow the same pattern: (value_range, criteria_range1, criteria1, criteria_range2, criteria2). Master these and you can calculate almost any metric!</t>
        </is>
      </c>
    </row>
    <row r="22" ht="24" customHeight="1">
      <c r="A22" s="93" t="inlineStr">
        <is>
          <t>PHASE 2: KPI CARDS — THE DASHBOARD HEADER</t>
        </is>
      </c>
    </row>
    <row r="23" ht="38" customHeight="1">
      <c r="A23" s="92" t="inlineStr">
        <is>
          <t>Step 9</t>
        </is>
      </c>
      <c r="B23" s="52" t="inlineStr">
        <is>
          <t>Create Dashboard Sheet</t>
        </is>
      </c>
      <c r="C23" s="37" t="inlineStr">
        <is>
          <t>Create a new sheet named 'Employee Dashboard'
View tab → uncheck Gridlines for clean look
Set tab color: right-click tab → Tab Color → Orange</t>
        </is>
      </c>
      <c r="D23" s="53" t="n"/>
      <c r="E23" s="54" t="inlineStr">
        <is>
          <t>Dashboard sheet ready ✅</t>
        </is>
      </c>
    </row>
    <row r="24" ht="38" customHeight="1">
      <c r="A24" s="92" t="inlineStr">
        <is>
          <t>Step 10</t>
        </is>
      </c>
      <c r="B24" s="52" t="inlineStr">
        <is>
          <t>Title Banner</t>
        </is>
      </c>
      <c r="C24" s="64" t="inlineStr">
        <is>
          <t>Merge cells A1:N1
Row height: 55
Type your dashboard title
Fill: dark color, white text, font size 22, bold
Alignment: center both horizontally and vertically</t>
        </is>
      </c>
      <c r="D24" s="53" t="n"/>
      <c r="E24" s="54" t="inlineStr">
        <is>
          <t>Banner created ✅</t>
        </is>
      </c>
    </row>
    <row r="25" ht="38" customHeight="1">
      <c r="A25" s="92" t="inlineStr">
        <is>
          <t>Step 11</t>
        </is>
      </c>
      <c r="B25" s="52" t="inlineStr">
        <is>
          <t>KPI Card — Headcount</t>
        </is>
      </c>
      <c r="C25" s="37" t="inlineStr">
        <is>
          <t>Merge A5:B5 (label row) and A6:B6 (value row)
Label row: 'Headcount', dark blue bg, white text size 10
Value row: =COUNTA('Employee Data'!A:A)-1
White text, font size 18, bold</t>
        </is>
      </c>
      <c r="D25" s="57">
        <f>COUNTA('Employee Data'!A:A)-1</f>
        <v/>
      </c>
      <c r="E25" s="54" t="inlineStr">
        <is>
          <t>Shows 915 ✅</t>
        </is>
      </c>
    </row>
    <row r="26" ht="38" customHeight="1">
      <c r="A26" s="92" t="inlineStr">
        <is>
          <t>Step 12</t>
        </is>
      </c>
      <c r="B26" s="52" t="inlineStr">
        <is>
          <t>KPI Card — Total Payroll</t>
        </is>
      </c>
      <c r="C26" s="64" t="inlineStr">
        <is>
          <t>Merge E5:F5 and E6:F6
Value: =SUM('Employee Data'!G:G)
Format as $#,##0 (no cents for large numbers)
Fill: green background — signals financial health</t>
        </is>
      </c>
      <c r="D26" s="57">
        <f>SUM('Employee Data'!G:G)</f>
        <v/>
      </c>
      <c r="E26" s="54" t="inlineStr">
        <is>
          <t>Total payroll $ ✅</t>
        </is>
      </c>
    </row>
    <row r="27" ht="38" customHeight="1">
      <c r="A27" s="92" t="inlineStr">
        <is>
          <t>Step 13</t>
        </is>
      </c>
      <c r="B27" s="52" t="inlineStr">
        <is>
          <t>KPI Card — Gender Ratio</t>
        </is>
      </c>
      <c r="C27" s="37" t="inlineStr">
        <is>
          <t>Merge M5:N5 and M6:N6
Value formula: =COUNTIF(C:C,"Male")&amp;":"&amp;COUNTIF(C:C,"Female")
This concatenates two counts with a colon
Good for at-a-glance gender balance check</t>
        </is>
      </c>
      <c r="D27" s="57">
        <f>COUNTIF('Employee Data'!C:C,"Male")&amp;":"&amp;COUNTIF('Employee Data'!C:C,"Female")</f>
        <v/>
      </c>
      <c r="E27" s="54" t="inlineStr">
        <is>
          <t>Shows "450:465" ✅</t>
        </is>
      </c>
    </row>
    <row r="28" ht="38" customHeight="1">
      <c r="A28" s="92" t="inlineStr">
        <is>
          <t>Step 14</t>
        </is>
      </c>
      <c r="B28" s="52" t="inlineStr">
        <is>
          <t>Style All 7 KPI Cards</t>
        </is>
      </c>
      <c r="C28" s="64" t="inlineStr">
        <is>
          <t>Each card needs:
  • Merged label cell: bold, small text, matching background
  • Merged value cell: large (16–20pt), bold, white text
  • Different color background per card for variety
  • Consistent row height (label: 22px, value: 52px)</t>
        </is>
      </c>
      <c r="D28" s="53" t="n"/>
      <c r="E28" s="54" t="inlineStr">
        <is>
          <t>7 colorful KPI cards ✅</t>
        </is>
      </c>
    </row>
    <row r="29" ht="28" customHeight="1">
      <c r="A29" s="55" t="inlineStr">
        <is>
          <t>💡 TIP: Use CONCATENATE or &amp; to combine text and numbers in KPI cards. Example: ="Total: "&amp;TEXT(SUM(G:G),"$#,##0") creates a formatted string like 'Total: $45,123,000'</t>
        </is>
      </c>
    </row>
    <row r="31" ht="24" customHeight="1">
      <c r="A31" s="63" t="inlineStr">
        <is>
          <t>PHASE 3: INSERT ALL 4 CHARTS</t>
        </is>
      </c>
    </row>
    <row r="32" ht="38" customHeight="1">
      <c r="A32" s="92" t="inlineStr">
        <is>
          <t>Step 15</t>
        </is>
      </c>
      <c r="B32" s="52" t="inlineStr">
        <is>
          <t>Chart 1 — Salary Band Column</t>
        </is>
      </c>
      <c r="C32" s="58" t="inlineStr">
        <is>
          <t>Go to Summary Data → select A1:B6 (Band + Count)
Insert → Column Chart → 2D Clustered Column
Move to dashboard sheet → position at A8
Title: 'Headcount by Salary Band'</t>
        </is>
      </c>
      <c r="D32" s="53" t="n"/>
      <c r="E32" s="54" t="inlineStr">
        <is>
          <t>Chart 1 inserted ✅</t>
        </is>
      </c>
    </row>
    <row r="33" ht="38" customHeight="1">
      <c r="A33" s="92" t="inlineStr">
        <is>
          <t>Step 16</t>
        </is>
      </c>
      <c r="B33" s="52" t="inlineStr">
        <is>
          <t>Chart 2 — Top 10 Roles Horizontal Bar</t>
        </is>
      </c>
      <c r="C33" s="37" t="inlineStr">
        <is>
          <t>Select G1:H11 on Summary Data (Job Title + Avg Salary)
Insert → Bar Chart → Horizontal Clustered Bar
Move to dashboard → position at J8 (right side)
Title: 'Top 10 Roles by Avg Salary'
Right-click Y-axis → Format Axis → check 'Categories in reverse order'</t>
        </is>
      </c>
      <c r="D33" s="53" t="n"/>
      <c r="E33" s="54" t="inlineStr">
        <is>
          <t>Chart 2 inserted ✅</t>
        </is>
      </c>
    </row>
    <row r="34" ht="38" customHeight="1">
      <c r="A34" s="92" t="inlineStr">
        <is>
          <t>Step 17</t>
        </is>
      </c>
      <c r="B34" s="52" t="inlineStr">
        <is>
          <t>Chart 3 — Gender × Education Clustered</t>
        </is>
      </c>
      <c r="C34" s="58" t="inlineStr">
        <is>
          <t>Select J1:L6 (Education + Male + Female columns)
Insert → Column Chart → Clustered Column
This automatically creates 2 bars side-by-side per education level
Title: 'Gender Split by Education Level'
Color Male = blue, Female = purple</t>
        </is>
      </c>
      <c r="D34" s="53" t="n"/>
      <c r="E34" s="54" t="inlineStr">
        <is>
          <t>Chart 3 inserted ✅</t>
        </is>
      </c>
    </row>
    <row r="35" ht="38" customHeight="1">
      <c r="A35" s="92" t="inlineStr">
        <is>
          <t>Step 18</t>
        </is>
      </c>
      <c r="B35" s="52" t="inlineStr">
        <is>
          <t>Chart 4 — Age vs Salary Line</t>
        </is>
      </c>
      <c r="C35" s="37" t="inlineStr">
        <is>
          <t>Select N1:O50 (Age + Avg Salary)
Insert → Line Chart → Line with Markers
Title: 'Avg Salary Across Age Groups'
This reveals the career progression — does salary rise with age?
Add a linear trendline to show the overall direction</t>
        </is>
      </c>
      <c r="D35" s="53" t="n"/>
      <c r="E35" s="54" t="inlineStr">
        <is>
          <t>Chart 4 inserted ✅</t>
        </is>
      </c>
    </row>
    <row r="36" ht="38" customHeight="1">
      <c r="A36" s="92" t="inlineStr">
        <is>
          <t>Step 19</t>
        </is>
      </c>
      <c r="B36" s="52" t="inlineStr">
        <is>
          <t>Resize &amp; Align Charts</t>
        </is>
      </c>
      <c r="C36" s="58" t="inlineStr">
        <is>
          <t>Hold ALT while dragging chart corners — they snap to cell boundaries!
Charts 1 &amp; 2 on the same row (top half)
Charts 3 &amp; 4 on the next row (bottom half)
Make all charts the same height for a uniform look</t>
        </is>
      </c>
      <c r="D36" s="53" t="n"/>
      <c r="E36" s="54" t="inlineStr">
        <is>
          <t>Charts aligned ✅</t>
        </is>
      </c>
    </row>
    <row r="37" ht="28" customHeight="1">
      <c r="A37" s="55" t="inlineStr">
        <is>
          <t>💡 TIP: To set the same size for multiple charts: Ctrl+click each chart → Format tab → enter exact Height and Width values. Professional dashboards use consistent chart sizes!</t>
        </is>
      </c>
    </row>
    <row r="39" ht="24" customHeight="1">
      <c r="A39" s="59" t="inlineStr">
        <is>
          <t>PHASE 4: SALARY DETAIL TABLE + FINISHING TOUCHES</t>
        </is>
      </c>
    </row>
    <row r="40" ht="38" customHeight="1">
      <c r="A40" s="92" t="inlineStr">
        <is>
          <t>Step 20</t>
        </is>
      </c>
      <c r="B40" s="52" t="inlineStr">
        <is>
          <t>Build Salary Band Table</t>
        </is>
      </c>
      <c r="C40" s="60" t="inlineStr">
        <is>
          <t>Below the charts, create a summary table with headers:
Band | Count | Avg Salary | Min Salary | Max Salary
Pull values from your Summary Data sheet using cell references
Format salary columns as $#,##0.00</t>
        </is>
      </c>
      <c r="D40" s="57">
        <f>'Summary Data'!C2</f>
        <v/>
      </c>
      <c r="E40" s="54" t="inlineStr">
        <is>
          <t>Table populated ✅</t>
        </is>
      </c>
    </row>
    <row r="41" ht="38" customHeight="1">
      <c r="A41" s="92" t="inlineStr">
        <is>
          <t>Step 21</t>
        </is>
      </c>
      <c r="B41" s="52" t="inlineStr">
        <is>
          <t>Apply Conditional Formatting to Table</t>
        </is>
      </c>
      <c r="C41" s="37" t="inlineStr">
        <is>
          <t>Select the 'Count' column in the table
Home → Conditional Formatting → Data Bars → Orange
Select 'Avg Salary' column → Color Scale → Green-Yellow-Red
Now your table is self-explanatory at a glance!</t>
        </is>
      </c>
      <c r="D41" s="53" t="n"/>
      <c r="E41" s="54" t="inlineStr">
        <is>
          <t>Visual table created ✅</t>
        </is>
      </c>
    </row>
    <row r="42" ht="38" customHeight="1">
      <c r="A42" s="92" t="inlineStr">
        <is>
          <t>Step 22</t>
        </is>
      </c>
      <c r="B42" s="52" t="inlineStr">
        <is>
          <t>Add Dashboard Subtitle/Date</t>
        </is>
      </c>
      <c r="C42" s="60" t="inlineStr">
        <is>
          <t>Below the title, add a subtitle row:
='Total Employees: '&amp;COUNTA('Employee Data'!A:A)-1&amp;'  |  Generated: '&amp;TEXT(TODAY(),"MMMM DD, YYYY")
Make it light gray italic text — provides context without dominating</t>
        </is>
      </c>
      <c r="D42" s="57">
        <f>TEXT(TODAY(),"MMMM DD, YYYY")</f>
        <v/>
      </c>
      <c r="E42" s="54" t="inlineStr">
        <is>
          <t>Date auto-updates ✅</t>
        </is>
      </c>
    </row>
    <row r="43" ht="38" customHeight="1">
      <c r="A43" s="92" t="inlineStr">
        <is>
          <t>Step 23</t>
        </is>
      </c>
      <c r="B43" s="52" t="inlineStr">
        <is>
          <t>Protect the Dashboard</t>
        </is>
      </c>
      <c r="C43" s="37" t="inlineStr">
        <is>
          <t>Review tab → Protect Sheet
This prevents accidental editing of formulas and formatting
Set a password (optional) and allow: Select unlocked cells, Use slicers
Your dashboard is now locked and professional!</t>
        </is>
      </c>
      <c r="D43" s="53" t="n"/>
      <c r="E43" s="54" t="inlineStr">
        <is>
          <t>Dashboard protected ✅</t>
        </is>
      </c>
    </row>
    <row r="44" ht="38" customHeight="1">
      <c r="A44" s="92" t="inlineStr">
        <is>
          <t>Step 24</t>
        </is>
      </c>
      <c r="B44" s="52" t="inlineStr">
        <is>
          <t>Final Save &amp; Review</t>
        </is>
      </c>
      <c r="C44" s="60" t="inlineStr">
        <is>
          <t>Press Ctrl+S → save as .xlsx format
Click through each chart and verify data looks correct
Scroll through and check KPI values are accurate
Show it to a colleague — a good dashboard should be self-explanatory!</t>
        </is>
      </c>
      <c r="D44" s="53" t="n"/>
      <c r="E44" s="54" t="inlineStr">
        <is>
          <t>Dashboard complete! 🎉</t>
        </is>
      </c>
    </row>
    <row r="45" ht="28" customHeight="1">
      <c r="A45" s="55" t="inlineStr">
        <is>
          <t>💡 TIP: Before sharing your dashboard: File → Print Preview to see how it looks on paper. Set Page Layout → Fit to 1 page wide to ensure it prints cleanly if needed.</t>
        </is>
      </c>
    </row>
    <row r="47" ht="24" customHeight="1">
      <c r="A47" s="90" t="inlineStr">
        <is>
          <t>📌  KEY FORMULAS USED IN DASHBOARD 6 — QUICK REFERENCE</t>
        </is>
      </c>
    </row>
    <row r="48" ht="20" customHeight="1">
      <c r="B48" s="94" t="inlineStr">
        <is>
          <t>Formula</t>
        </is>
      </c>
      <c r="C48" s="94" t="inlineStr">
        <is>
          <t>Syntax</t>
        </is>
      </c>
      <c r="D48" s="94" t="inlineStr">
        <is>
          <t>Example</t>
        </is>
      </c>
      <c r="E48" s="94" t="inlineStr">
        <is>
          <t>Purpose</t>
        </is>
      </c>
    </row>
    <row r="49" ht="26" customHeight="1">
      <c r="B49" s="95" t="inlineStr">
        <is>
          <t>COUNTIFS</t>
        </is>
      </c>
      <c r="C49" s="40" t="inlineStr">
        <is>
          <t>COUNTIFS(r1,c1,r2,c2)</t>
        </is>
      </c>
      <c r="D49" s="41">
        <f>COUNTIFS(G:G,"&gt;=40000",G:G,"&lt;70000")</f>
        <v/>
      </c>
      <c r="E49" s="37" t="inlineStr">
        <is>
          <t>Count rows matching 2+ conditions — core of salary band analysis</t>
        </is>
      </c>
    </row>
    <row r="50" ht="26" customHeight="1">
      <c r="B50" s="96" t="inlineStr">
        <is>
          <t>AVERAGEIFS</t>
        </is>
      </c>
      <c r="C50" s="42" t="inlineStr">
        <is>
          <t>AVERAGEIFS(avg_r,r1,c1,r2,c2)</t>
        </is>
      </c>
      <c r="D50" s="43">
        <f>AVERAGEIFS(G:G,G:G,"&gt;=40000",G:G,"&lt;70000")</f>
        <v/>
      </c>
      <c r="E50" s="33" t="inlineStr">
        <is>
          <t>Average salary ONLY within a specific band range</t>
        </is>
      </c>
    </row>
    <row r="51" ht="26" customHeight="1">
      <c r="B51" s="95" t="inlineStr">
        <is>
          <t>MINIFS</t>
        </is>
      </c>
      <c r="C51" s="40" t="inlineStr">
        <is>
          <t>MINIFS(min_r, crit_r, crit)</t>
        </is>
      </c>
      <c r="D51" s="41">
        <f>MINIFS(G:G,G:G,"&gt;=40000",G:G,"&lt;70000")</f>
        <v/>
      </c>
      <c r="E51" s="37" t="inlineStr">
        <is>
          <t>Lowest salary in a specific band (Excel 2019+)</t>
        </is>
      </c>
    </row>
    <row r="52" ht="26" customHeight="1">
      <c r="B52" s="96" t="inlineStr">
        <is>
          <t>MAXIFS</t>
        </is>
      </c>
      <c r="C52" s="42" t="inlineStr">
        <is>
          <t>MAXIFS(max_r, crit_r, crit)</t>
        </is>
      </c>
      <c r="D52" s="43">
        <f>MAXIFS(G:G,G:G,"&gt;=40000",G:G,"&lt;70000")</f>
        <v/>
      </c>
      <c r="E52" s="33" t="inlineStr">
        <is>
          <t>Highest salary in a specific band (Excel 2019+)</t>
        </is>
      </c>
    </row>
    <row r="53" ht="26" customHeight="1">
      <c r="B53" s="95" t="inlineStr">
        <is>
          <t>AVERAGEIF</t>
        </is>
      </c>
      <c r="C53" s="40" t="inlineStr">
        <is>
          <t>AVERAGEIF(range, criteria, avg_range)</t>
        </is>
      </c>
      <c r="D53" s="41">
        <f>AVERAGEIF(F:F,"Data Scientist",G:G)</f>
        <v/>
      </c>
      <c r="E53" s="37" t="inlineStr">
        <is>
          <t>Average salary for a single job title or category</t>
        </is>
      </c>
    </row>
    <row r="54" ht="26" customHeight="1">
      <c r="B54" s="96" t="inlineStr">
        <is>
          <t>CONCATENATE</t>
        </is>
      </c>
      <c r="C54" s="42" t="inlineStr">
        <is>
          <t>text1 &amp; ":" &amp; text2</t>
        </is>
      </c>
      <c r="D54" s="43">
        <f>COUNTIF(C:C,"Male")&amp;":"&amp;COUNTIF(C:C,"Female")</f>
        <v/>
      </c>
      <c r="E54" s="33" t="inlineStr">
        <is>
          <t>Build Gender Ratio text like '450:465' in a KPI card</t>
        </is>
      </c>
    </row>
    <row r="55" ht="26" customHeight="1">
      <c r="B55" s="95" t="inlineStr">
        <is>
          <t>COUNTA</t>
        </is>
      </c>
      <c r="C55" s="40" t="inlineStr">
        <is>
          <t>COUNTA(range)</t>
        </is>
      </c>
      <c r="D55" s="41">
        <f>COUNTA('Employee Data'!A:A)-1</f>
        <v/>
      </c>
      <c r="E55" s="37" t="inlineStr">
        <is>
          <t>Count non-empty cells (-1 removes the header row)</t>
        </is>
      </c>
    </row>
    <row r="56" ht="26" customHeight="1">
      <c r="B56" s="96" t="inlineStr">
        <is>
          <t>TEXT</t>
        </is>
      </c>
      <c r="C56" s="42" t="inlineStr">
        <is>
          <t>TEXT(value, format)</t>
        </is>
      </c>
      <c r="D56" s="43">
        <f>TEXT(TODAY(),"MMMM DD, YYYY")</f>
        <v/>
      </c>
      <c r="E56" s="33" t="inlineStr">
        <is>
          <t>Display today's date as readable text in a cell</t>
        </is>
      </c>
    </row>
  </sheetData>
  <mergeCells count="24">
    <mergeCell ref="A39:E39"/>
    <mergeCell ref="C9:E9"/>
    <mergeCell ref="A1:E1"/>
    <mergeCell ref="A45:E45"/>
    <mergeCell ref="A6:B6"/>
    <mergeCell ref="A7:B7"/>
    <mergeCell ref="C8:E8"/>
    <mergeCell ref="A37:E37"/>
    <mergeCell ref="C7:E7"/>
    <mergeCell ref="A3:E3"/>
    <mergeCell ref="A2:E2"/>
    <mergeCell ref="A5:B5"/>
    <mergeCell ref="A47:E47"/>
    <mergeCell ref="A8:B8"/>
    <mergeCell ref="A22:E22"/>
    <mergeCell ref="C6:E6"/>
    <mergeCell ref="A4:B4"/>
    <mergeCell ref="A29:E29"/>
    <mergeCell ref="A20:E20"/>
    <mergeCell ref="C5:E5"/>
    <mergeCell ref="A10:E10"/>
    <mergeCell ref="C4:E4"/>
    <mergeCell ref="A31:E31"/>
    <mergeCell ref="A9:B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35400"/>
    <outlinePr summaryBelow="1" summaryRight="1"/>
    <pageSetUpPr/>
  </sheetPr>
  <dimension ref="A1:E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5" customWidth="1" min="3" max="3"/>
    <col width="30" customWidth="1" min="4" max="4"/>
  </cols>
  <sheetData>
    <row r="1" ht="40" customHeight="1">
      <c r="A1" s="26" t="inlineStr">
        <is>
          <t>🌟  PRO EXCEL TIPS &amp; KEYBOARD SHORTCUTS</t>
        </is>
      </c>
    </row>
    <row r="3" ht="25" customHeight="1">
      <c r="A3" s="28" t="inlineStr">
        <is>
          <t>⌨️  NAVIGATION SHORTCUTS</t>
        </is>
      </c>
    </row>
    <row r="4">
      <c r="B4" s="29" t="inlineStr">
        <is>
          <t>Shortcut / Tip</t>
        </is>
      </c>
      <c r="C4" s="29" t="inlineStr">
        <is>
          <t>What it Does</t>
        </is>
      </c>
    </row>
    <row r="5" ht="22" customHeight="1">
      <c r="B5" s="70" t="inlineStr">
        <is>
          <t>Ctrl + Home</t>
        </is>
      </c>
      <c r="C5" s="33" t="inlineStr">
        <is>
          <t>Go to cell A1 — the very beginning of the sheet</t>
        </is>
      </c>
    </row>
    <row r="6" ht="22" customHeight="1">
      <c r="B6" s="71" t="inlineStr">
        <is>
          <t>Ctrl + End</t>
        </is>
      </c>
      <c r="C6" s="37" t="inlineStr">
        <is>
          <t>Go to the last used cell in the sheet</t>
        </is>
      </c>
    </row>
    <row r="7" ht="22" customHeight="1">
      <c r="B7" s="70" t="inlineStr">
        <is>
          <t>Ctrl + Arrow Keys</t>
        </is>
      </c>
      <c r="C7" s="33" t="inlineStr">
        <is>
          <t>Jump to the last cell with data in any direction</t>
        </is>
      </c>
    </row>
    <row r="8" ht="22" customHeight="1">
      <c r="B8" s="71" t="inlineStr">
        <is>
          <t>Ctrl + Shift + End</t>
        </is>
      </c>
      <c r="C8" s="37" t="inlineStr">
        <is>
          <t>Select from current cell to last used cell</t>
        </is>
      </c>
    </row>
    <row r="9" ht="22" customHeight="1">
      <c r="B9" s="70" t="inlineStr">
        <is>
          <t>Ctrl + Page Up/Down</t>
        </is>
      </c>
      <c r="C9" s="33" t="inlineStr">
        <is>
          <t>Switch between worksheet tabs</t>
        </is>
      </c>
    </row>
    <row r="10" ht="22" customHeight="1">
      <c r="B10" s="71" t="inlineStr">
        <is>
          <t>F5 (Go To)</t>
        </is>
      </c>
      <c r="C10" s="37" t="inlineStr">
        <is>
          <t>Navigate directly to any cell address or named range</t>
        </is>
      </c>
    </row>
    <row r="12" ht="25" customHeight="1">
      <c r="A12" s="38" t="inlineStr">
        <is>
          <t>📝  EDITING SHORTCUTS</t>
        </is>
      </c>
    </row>
    <row r="13">
      <c r="B13" s="39" t="inlineStr">
        <is>
          <t>Shortcut / Tip</t>
        </is>
      </c>
      <c r="C13" s="39" t="inlineStr">
        <is>
          <t>What it Does</t>
        </is>
      </c>
    </row>
    <row r="14" ht="22" customHeight="1">
      <c r="B14" s="72" t="inlineStr">
        <is>
          <t>Ctrl + Z / Y</t>
        </is>
      </c>
      <c r="C14" s="33" t="inlineStr">
        <is>
          <t>Undo / Redo — your best friends!</t>
        </is>
      </c>
    </row>
    <row r="15" ht="22" customHeight="1">
      <c r="B15" s="73" t="inlineStr">
        <is>
          <t>Ctrl + C / X / V</t>
        </is>
      </c>
      <c r="C15" s="37" t="inlineStr">
        <is>
          <t>Copy / Cut / Paste</t>
        </is>
      </c>
    </row>
    <row r="16" ht="22" customHeight="1">
      <c r="B16" s="72" t="inlineStr">
        <is>
          <t>Ctrl + D</t>
        </is>
      </c>
      <c r="C16" s="33" t="inlineStr">
        <is>
          <t>Fill Down — copy formula from cell above to selected range</t>
        </is>
      </c>
    </row>
    <row r="17" ht="22" customHeight="1">
      <c r="B17" s="73" t="inlineStr">
        <is>
          <t>Ctrl + R</t>
        </is>
      </c>
      <c r="C17" s="37" t="inlineStr">
        <is>
          <t>Fill Right — copy formula from left cell to selected range</t>
        </is>
      </c>
    </row>
    <row r="18" ht="22" customHeight="1">
      <c r="B18" s="72" t="inlineStr">
        <is>
          <t>F2</t>
        </is>
      </c>
      <c r="C18" s="33" t="inlineStr">
        <is>
          <t>Enter edit mode in the active cell</t>
        </is>
      </c>
    </row>
    <row r="19" ht="22" customHeight="1">
      <c r="B19" s="73" t="inlineStr">
        <is>
          <t>Ctrl + Enter</t>
        </is>
      </c>
      <c r="C19" s="37" t="inlineStr">
        <is>
          <t>Enter data in multiple selected cells at once</t>
        </is>
      </c>
    </row>
    <row r="20" ht="22" customHeight="1">
      <c r="B20" s="72" t="inlineStr">
        <is>
          <t>Alt + Enter</t>
        </is>
      </c>
      <c r="C20" s="33" t="inlineStr">
        <is>
          <t>Add a new line WITHIN a cell (instead of moving to next cell)</t>
        </is>
      </c>
    </row>
    <row r="21" ht="22" customHeight="1">
      <c r="B21" s="73" t="inlineStr">
        <is>
          <t>Ctrl + ;</t>
        </is>
      </c>
      <c r="C21" s="37" t="inlineStr">
        <is>
          <t>Insert today's date</t>
        </is>
      </c>
    </row>
    <row r="22" ht="22" customHeight="1">
      <c r="B22" s="72" t="inlineStr">
        <is>
          <t>Ctrl + Shift + ;</t>
        </is>
      </c>
      <c r="C22" s="33" t="inlineStr">
        <is>
          <t>Insert current time</t>
        </is>
      </c>
    </row>
    <row r="24" ht="25" customHeight="1">
      <c r="A24" s="44" t="inlineStr">
        <is>
          <t>🎨  FORMATTING SHORTCUTS</t>
        </is>
      </c>
    </row>
    <row r="25">
      <c r="B25" s="45" t="inlineStr">
        <is>
          <t>Shortcut / Tip</t>
        </is>
      </c>
      <c r="C25" s="45" t="inlineStr">
        <is>
          <t>What it Does</t>
        </is>
      </c>
    </row>
    <row r="26" ht="22" customHeight="1">
      <c r="B26" s="74" t="inlineStr">
        <is>
          <t>Ctrl + 1</t>
        </is>
      </c>
      <c r="C26" s="33" t="inlineStr">
        <is>
          <t>Open Format Cells dialog (quickest way!)</t>
        </is>
      </c>
    </row>
    <row r="27" ht="22" customHeight="1">
      <c r="B27" s="75" t="inlineStr">
        <is>
          <t>Ctrl + B / I / U</t>
        </is>
      </c>
      <c r="C27" s="37" t="inlineStr">
        <is>
          <t>Bold / Italic / Underline</t>
        </is>
      </c>
    </row>
    <row r="28" ht="22" customHeight="1">
      <c r="B28" s="74" t="inlineStr">
        <is>
          <t>Ctrl + Shift + $</t>
        </is>
      </c>
      <c r="C28" s="33" t="inlineStr">
        <is>
          <t>Apply Currency format instantly</t>
        </is>
      </c>
    </row>
    <row r="29" ht="22" customHeight="1">
      <c r="B29" s="75" t="inlineStr">
        <is>
          <t>Ctrl + Shift + %</t>
        </is>
      </c>
      <c r="C29" s="37" t="inlineStr">
        <is>
          <t>Apply Percentage format instantly</t>
        </is>
      </c>
    </row>
    <row r="30" ht="22" customHeight="1">
      <c r="B30" s="74" t="inlineStr">
        <is>
          <t>Ctrl + Shift + #</t>
        </is>
      </c>
      <c r="C30" s="33" t="inlineStr">
        <is>
          <t>Apply Date format instantly</t>
        </is>
      </c>
    </row>
    <row r="31" ht="22" customHeight="1">
      <c r="B31" s="75" t="inlineStr">
        <is>
          <t>Alt + H + H</t>
        </is>
      </c>
      <c r="C31" s="37" t="inlineStr">
        <is>
          <t>Open cell background color picker</t>
        </is>
      </c>
    </row>
    <row r="32" ht="22" customHeight="1">
      <c r="B32" s="74" t="inlineStr">
        <is>
          <t>Ctrl + Shift + C/V</t>
        </is>
      </c>
      <c r="C32" s="33" t="inlineStr">
        <is>
          <t>Copy / Paste formatting only (Format Painter via keyboard)</t>
        </is>
      </c>
    </row>
    <row r="34" ht="25" customHeight="1">
      <c r="A34" s="59" t="inlineStr">
        <is>
          <t>📊  CHART TRICKS</t>
        </is>
      </c>
    </row>
    <row r="35">
      <c r="B35" s="76" t="inlineStr">
        <is>
          <t>Shortcut / Tip</t>
        </is>
      </c>
      <c r="C35" s="76" t="inlineStr">
        <is>
          <t>What it Does</t>
        </is>
      </c>
    </row>
    <row r="36" ht="22" customHeight="1">
      <c r="B36" s="77" t="inlineStr">
        <is>
          <t>F11</t>
        </is>
      </c>
      <c r="C36" s="33" t="inlineStr">
        <is>
          <t>Create a chart on a NEW sheet from selected data instantly</t>
        </is>
      </c>
    </row>
    <row r="37" ht="22" customHeight="1">
      <c r="B37" s="78" t="inlineStr">
        <is>
          <t>Alt + F1</t>
        </is>
      </c>
      <c r="C37" s="37" t="inlineStr">
        <is>
          <t>Create a chart EMBEDDED in the current sheet from selected data</t>
        </is>
      </c>
    </row>
    <row r="38" ht="22" customHeight="1">
      <c r="B38" s="77" t="inlineStr">
        <is>
          <t>Click chart + Delete</t>
        </is>
      </c>
      <c r="C38" s="33" t="inlineStr">
        <is>
          <t>Delete a chart quickly</t>
        </is>
      </c>
    </row>
    <row r="39" ht="22" customHeight="1">
      <c r="B39" s="78" t="inlineStr">
        <is>
          <t>Ctrl + click bars</t>
        </is>
      </c>
      <c r="C39" s="37" t="inlineStr">
        <is>
          <t>Select one specific bar/slice to format individually</t>
        </is>
      </c>
    </row>
    <row r="40" ht="22" customHeight="1">
      <c r="B40" s="77" t="inlineStr">
        <is>
          <t>Double-click axis</t>
        </is>
      </c>
      <c r="C40" s="33" t="inlineStr">
        <is>
          <t>Open Format Axis panel</t>
        </is>
      </c>
    </row>
    <row r="41" ht="22" customHeight="1">
      <c r="B41" s="78" t="inlineStr">
        <is>
          <t>Right-click → Select Data</t>
        </is>
      </c>
      <c r="C41" s="37" t="inlineStr">
        <is>
          <t>Change what data the chart uses</t>
        </is>
      </c>
    </row>
    <row r="43" ht="25" customHeight="1">
      <c r="A43" s="63" t="inlineStr">
        <is>
          <t>💡  DASHBOARD BEST PRACTICES</t>
        </is>
      </c>
    </row>
    <row r="44">
      <c r="B44" s="79" t="inlineStr">
        <is>
          <t>Shortcut / Tip</t>
        </is>
      </c>
      <c r="C44" s="79" t="inlineStr">
        <is>
          <t>What it Does</t>
        </is>
      </c>
    </row>
    <row r="45" ht="22" customHeight="1">
      <c r="B45" s="80" t="inlineStr">
        <is>
          <t>Use consistent colors</t>
        </is>
      </c>
      <c r="C45" s="33" t="inlineStr">
        <is>
          <t>Pick 2-3 main colors and stick to them throughout</t>
        </is>
      </c>
    </row>
    <row r="46" ht="22" customHeight="1">
      <c r="B46" s="81" t="inlineStr">
        <is>
          <t>Align everything</t>
        </is>
      </c>
      <c r="C46" s="37" t="inlineStr">
        <is>
          <t>Charts and tables should align to cell grid (hold Alt while resizing)</t>
        </is>
      </c>
    </row>
    <row r="47" ht="22" customHeight="1">
      <c r="B47" s="80" t="inlineStr">
        <is>
          <t>Less is more</t>
        </is>
      </c>
      <c r="C47" s="33" t="inlineStr">
        <is>
          <t>Don't add every possible chart — 4-6 visuals max per dashboard</t>
        </is>
      </c>
    </row>
    <row r="48" ht="22" customHeight="1">
      <c r="B48" s="81" t="inlineStr">
        <is>
          <t>Add a title section</t>
        </is>
      </c>
      <c r="C48" s="37" t="inlineStr">
        <is>
          <t>Every dashboard needs a clear title + date/source information</t>
        </is>
      </c>
    </row>
    <row r="49" ht="22" customHeight="1">
      <c r="B49" s="80" t="inlineStr">
        <is>
          <t>Use named ranges</t>
        </is>
      </c>
      <c r="C49" s="33" t="inlineStr">
        <is>
          <t>Name your key data ranges (Ctrl+F3) for cleaner formulas</t>
        </is>
      </c>
    </row>
    <row r="50" ht="22" customHeight="1">
      <c r="B50" s="81" t="inlineStr">
        <is>
          <t>Protect your summary sheets</t>
        </is>
      </c>
      <c r="C50" s="37" t="inlineStr">
        <is>
          <t>Review tab → Protect Sheet so formula cells can't be broken</t>
        </is>
      </c>
    </row>
    <row r="51" ht="22" customHeight="1">
      <c r="B51" s="80" t="inlineStr">
        <is>
          <t>Test responsiveness</t>
        </is>
      </c>
      <c r="C51" s="33" t="inlineStr">
        <is>
          <t>Click slicers/filters to verify all charts update correctly</t>
        </is>
      </c>
    </row>
    <row r="52" ht="22" customHeight="1">
      <c r="B52" s="81" t="inlineStr">
        <is>
          <t>Save as .xlsx</t>
        </is>
      </c>
      <c r="C52" s="37" t="inlineStr">
        <is>
          <t>Always save as .xlsx to preserve charts, formatting &amp; macros</t>
        </is>
      </c>
    </row>
  </sheetData>
  <mergeCells count="11">
    <mergeCell ref="A1:D1"/>
    <mergeCell ref="D4"/>
    <mergeCell ref="A12:E12"/>
    <mergeCell ref="A34:E34"/>
    <mergeCell ref="D35"/>
    <mergeCell ref="A43:E43"/>
    <mergeCell ref="A24:E24"/>
    <mergeCell ref="D44"/>
    <mergeCell ref="D25"/>
    <mergeCell ref="D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2026-05-22T13:00:56Z</dcterms:created>
  <dcterms:modified xmlns:dcterms="http://purl.org/dc/terms/" xmlns:xsi="http://www.w3.org/2001/XMLSchema-instance" xsi:type="dcterms:W3CDTF">2026-05-22T13:08:01Z</dcterms:modified>
</cp:coreProperties>
</file>