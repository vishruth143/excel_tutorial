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shvambruth_Javagal\Desktop\"/>
    </mc:Choice>
  </mc:AlternateContent>
  <xr:revisionPtr revIDLastSave="0" documentId="13_ncr:1_{4558EC85-C711-4A96-BD5F-1624106E2D84}" xr6:coauthVersionLast="47" xr6:coauthVersionMax="47" xr10:uidLastSave="{00000000-0000-0000-0000-000000000000}"/>
  <bookViews>
    <workbookView xWindow="-120" yWindow="-120" windowWidth="29040" windowHeight="15720" tabRatio="412" xr2:uid="{6ACA091F-59E3-41E7-B925-EA720AB063CF}"/>
  </bookViews>
  <sheets>
    <sheet name="Gantt Cha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4" i="1" l="1"/>
  <c r="G15" i="1"/>
  <c r="G16" i="1"/>
  <c r="D4" i="1"/>
  <c r="J5" i="1" s="1"/>
  <c r="J8" i="1" s="1"/>
  <c r="J11" i="1" l="1"/>
  <c r="J15" i="1"/>
  <c r="J13" i="1"/>
  <c r="J10" i="1"/>
  <c r="J9" i="1"/>
  <c r="J14" i="1"/>
  <c r="J12" i="1"/>
  <c r="J16" i="1"/>
  <c r="J7" i="1"/>
  <c r="G7" i="1" l="1"/>
  <c r="G8" i="1" l="1"/>
  <c r="G9" i="1" l="1"/>
  <c r="G10" i="1" l="1"/>
  <c r="G11" i="1" l="1"/>
  <c r="G12" i="1" l="1"/>
  <c r="K5" i="1"/>
  <c r="K7" i="1" l="1"/>
  <c r="K11" i="1"/>
  <c r="K15" i="1"/>
  <c r="K14" i="1"/>
  <c r="K8" i="1"/>
  <c r="K12" i="1"/>
  <c r="K16" i="1"/>
  <c r="K9" i="1"/>
  <c r="K13" i="1"/>
  <c r="K10" i="1"/>
  <c r="G13" i="1"/>
  <c r="J4" i="1"/>
  <c r="L5" i="1"/>
  <c r="J3" i="1"/>
  <c r="L7" i="1" l="1"/>
  <c r="L11" i="1"/>
  <c r="L15" i="1"/>
  <c r="L8" i="1"/>
  <c r="L12" i="1"/>
  <c r="L16" i="1"/>
  <c r="L9" i="1"/>
  <c r="L13" i="1"/>
  <c r="L10" i="1"/>
  <c r="L14" i="1"/>
  <c r="M5" i="1"/>
  <c r="M10" i="1" l="1"/>
  <c r="M14" i="1"/>
  <c r="M7" i="1"/>
  <c r="M11" i="1"/>
  <c r="M15" i="1"/>
  <c r="M8" i="1"/>
  <c r="M12" i="1"/>
  <c r="M16" i="1"/>
  <c r="M13" i="1"/>
  <c r="M9" i="1"/>
  <c r="N5" i="1"/>
  <c r="N10" i="1" l="1"/>
  <c r="N14" i="1"/>
  <c r="N7" i="1"/>
  <c r="N11" i="1"/>
  <c r="N15" i="1"/>
  <c r="N16" i="1"/>
  <c r="N8" i="1"/>
  <c r="N12" i="1"/>
  <c r="N9" i="1"/>
  <c r="N13" i="1"/>
  <c r="O5" i="1"/>
  <c r="O9" i="1" l="1"/>
  <c r="O13" i="1"/>
  <c r="O16" i="1"/>
  <c r="O10" i="1"/>
  <c r="O14" i="1"/>
  <c r="O12" i="1"/>
  <c r="O7" i="1"/>
  <c r="O11" i="1"/>
  <c r="O15" i="1"/>
  <c r="O8" i="1"/>
  <c r="N4" i="1"/>
  <c r="P5" i="1"/>
  <c r="P9" i="1" l="1"/>
  <c r="P13" i="1"/>
  <c r="P10" i="1"/>
  <c r="P14" i="1"/>
  <c r="P7" i="1"/>
  <c r="P11" i="1"/>
  <c r="P15" i="1"/>
  <c r="P8" i="1"/>
  <c r="P12" i="1"/>
  <c r="P16" i="1"/>
  <c r="Q5" i="1"/>
  <c r="Q8" i="1" l="1"/>
  <c r="Q12" i="1"/>
  <c r="Q16" i="1"/>
  <c r="Q7" i="1"/>
  <c r="Q11" i="1"/>
  <c r="Q9" i="1"/>
  <c r="Q13" i="1"/>
  <c r="Q15" i="1"/>
  <c r="Q10" i="1"/>
  <c r="Q14" i="1"/>
  <c r="R5" i="1"/>
  <c r="R8" i="1" l="1"/>
  <c r="R12" i="1"/>
  <c r="R16" i="1"/>
  <c r="R9" i="1"/>
  <c r="R13" i="1"/>
  <c r="R10" i="1"/>
  <c r="R14" i="1"/>
  <c r="R7" i="1"/>
  <c r="R11" i="1"/>
  <c r="R15" i="1"/>
  <c r="S5" i="1"/>
  <c r="S7" i="1" l="1"/>
  <c r="S11" i="1"/>
  <c r="S15" i="1"/>
  <c r="S14" i="1"/>
  <c r="S8" i="1"/>
  <c r="S12" i="1"/>
  <c r="S16" i="1"/>
  <c r="S10" i="1"/>
  <c r="S9" i="1"/>
  <c r="S13" i="1"/>
  <c r="T5" i="1"/>
  <c r="T7" i="1" l="1"/>
  <c r="T11" i="1"/>
  <c r="T15" i="1"/>
  <c r="T8" i="1"/>
  <c r="T12" i="1"/>
  <c r="T16" i="1"/>
  <c r="T9" i="1"/>
  <c r="T13" i="1"/>
  <c r="T10" i="1"/>
  <c r="T14" i="1"/>
  <c r="S4" i="1"/>
  <c r="U5" i="1"/>
  <c r="U10" i="1" l="1"/>
  <c r="U14" i="1"/>
  <c r="U7" i="1"/>
  <c r="U11" i="1"/>
  <c r="U15" i="1"/>
  <c r="U9" i="1"/>
  <c r="U16" i="1"/>
  <c r="U8" i="1"/>
  <c r="U12" i="1"/>
  <c r="U13" i="1"/>
  <c r="V5" i="1"/>
  <c r="V10" i="1" l="1"/>
  <c r="V14" i="1"/>
  <c r="V16" i="1"/>
  <c r="V7" i="1"/>
  <c r="V11" i="1"/>
  <c r="V15" i="1"/>
  <c r="V8" i="1"/>
  <c r="V12" i="1"/>
  <c r="V9" i="1"/>
  <c r="V13" i="1"/>
  <c r="W5" i="1"/>
  <c r="W9" i="1" l="1"/>
  <c r="W13" i="1"/>
  <c r="W10" i="1"/>
  <c r="W14" i="1"/>
  <c r="W12" i="1"/>
  <c r="W16" i="1"/>
  <c r="W7" i="1"/>
  <c r="W11" i="1"/>
  <c r="W15" i="1"/>
  <c r="W8" i="1"/>
  <c r="X5" i="1"/>
  <c r="X9" i="1" l="1"/>
  <c r="X13" i="1"/>
  <c r="X10" i="1"/>
  <c r="X14" i="1"/>
  <c r="X7" i="1"/>
  <c r="X11" i="1"/>
  <c r="X15" i="1"/>
  <c r="X8" i="1"/>
  <c r="X12" i="1"/>
  <c r="X16" i="1"/>
  <c r="Y5" i="1"/>
  <c r="W4" i="1"/>
  <c r="Y8" i="1" l="1"/>
  <c r="Y12" i="1"/>
  <c r="Y16" i="1"/>
  <c r="Y15" i="1"/>
  <c r="Y9" i="1"/>
  <c r="Y13" i="1"/>
  <c r="Y7" i="1"/>
  <c r="Y10" i="1"/>
  <c r="Y14" i="1"/>
  <c r="Y11" i="1"/>
  <c r="Z5" i="1"/>
  <c r="Z8" i="1" l="1"/>
  <c r="Z12" i="1"/>
  <c r="Z16" i="1"/>
  <c r="Z9" i="1"/>
  <c r="Z13" i="1"/>
  <c r="Z10" i="1"/>
  <c r="Z14" i="1"/>
  <c r="Z7" i="1"/>
  <c r="Z11" i="1"/>
  <c r="Z15" i="1"/>
  <c r="AA5" i="1"/>
  <c r="AA7" i="1" l="1"/>
  <c r="AA11" i="1"/>
  <c r="AA15" i="1"/>
  <c r="AA8" i="1"/>
  <c r="AA12" i="1"/>
  <c r="AA16" i="1"/>
  <c r="AA9" i="1"/>
  <c r="AA13" i="1"/>
  <c r="AA10" i="1"/>
  <c r="AA14" i="1"/>
  <c r="AB5" i="1"/>
  <c r="AB7" i="1" l="1"/>
  <c r="AB11" i="1"/>
  <c r="AB15" i="1"/>
  <c r="AB8" i="1"/>
  <c r="AB12" i="1"/>
  <c r="AB16" i="1"/>
  <c r="AB9" i="1"/>
  <c r="AB13" i="1"/>
  <c r="AB10" i="1"/>
  <c r="AB14" i="1"/>
  <c r="AC5" i="1"/>
  <c r="AC10" i="1" l="1"/>
  <c r="AC14" i="1"/>
  <c r="AC7" i="1"/>
  <c r="AC11" i="1"/>
  <c r="AC15" i="1"/>
  <c r="AC16" i="1"/>
  <c r="AC13" i="1"/>
  <c r="AC8" i="1"/>
  <c r="AC12" i="1"/>
  <c r="AC9" i="1"/>
  <c r="AB4" i="1"/>
  <c r="AD5" i="1"/>
  <c r="AD10" i="1" l="1"/>
  <c r="AD14" i="1"/>
  <c r="AD16" i="1"/>
  <c r="AD7" i="1"/>
  <c r="AD11" i="1"/>
  <c r="AD15" i="1"/>
  <c r="AD8" i="1"/>
  <c r="AD12" i="1"/>
  <c r="AD9" i="1"/>
  <c r="AD13" i="1"/>
  <c r="AE5" i="1"/>
  <c r="AE9" i="1" l="1"/>
  <c r="AE13" i="1"/>
  <c r="AE12" i="1"/>
  <c r="AE10" i="1"/>
  <c r="AE14" i="1"/>
  <c r="AE7" i="1"/>
  <c r="AE11" i="1"/>
  <c r="AE15" i="1"/>
  <c r="AE16" i="1"/>
  <c r="AE8" i="1"/>
  <c r="AF5" i="1"/>
  <c r="AF9" i="1" l="1"/>
  <c r="AF13" i="1"/>
  <c r="AF10" i="1"/>
  <c r="AF14" i="1"/>
  <c r="AF7" i="1"/>
  <c r="AF11" i="1"/>
  <c r="AF15" i="1"/>
  <c r="AF16" i="1"/>
  <c r="AF8" i="1"/>
  <c r="AF12" i="1"/>
  <c r="AG5" i="1"/>
  <c r="AG8" i="1" l="1"/>
  <c r="AG12" i="1"/>
  <c r="AG16" i="1"/>
  <c r="AG7" i="1"/>
  <c r="AG9" i="1"/>
  <c r="AG13" i="1"/>
  <c r="AG11" i="1"/>
  <c r="AG10" i="1"/>
  <c r="AG14" i="1"/>
  <c r="AG15" i="1"/>
  <c r="AH5" i="1"/>
  <c r="AF4" i="1"/>
  <c r="AH8" i="1" l="1"/>
  <c r="AH12" i="1"/>
  <c r="AH16" i="1"/>
  <c r="AH9" i="1"/>
  <c r="AH13" i="1"/>
  <c r="AH10" i="1"/>
  <c r="AH14" i="1"/>
  <c r="AH7" i="1"/>
  <c r="AH11" i="1"/>
  <c r="AH15" i="1"/>
  <c r="AI5" i="1"/>
  <c r="AI7" i="1" l="1"/>
  <c r="AI11" i="1"/>
  <c r="AI15" i="1"/>
  <c r="AI8" i="1"/>
  <c r="AI12" i="1"/>
  <c r="AI16" i="1"/>
  <c r="AI14" i="1"/>
  <c r="AI10" i="1"/>
  <c r="AI9" i="1"/>
  <c r="AI13" i="1"/>
  <c r="AJ5" i="1"/>
  <c r="AJ7" i="1" l="1"/>
  <c r="AJ11" i="1"/>
  <c r="AJ15" i="1"/>
  <c r="AJ8" i="1"/>
  <c r="AJ12" i="1"/>
  <c r="AJ16" i="1"/>
  <c r="AJ9" i="1"/>
  <c r="AJ13" i="1"/>
  <c r="AJ14" i="1"/>
  <c r="AJ10" i="1"/>
  <c r="AK5" i="1"/>
  <c r="AK10" i="1" l="1"/>
  <c r="AK14" i="1"/>
  <c r="AK16" i="1"/>
  <c r="AK7" i="1"/>
  <c r="AK11" i="1"/>
  <c r="AK15" i="1"/>
  <c r="AK9" i="1"/>
  <c r="AK13" i="1"/>
  <c r="AK8" i="1"/>
  <c r="AK12" i="1"/>
  <c r="AJ4" i="1"/>
  <c r="AL5" i="1"/>
  <c r="AL10" i="1" l="1"/>
  <c r="AL14" i="1"/>
  <c r="AL7" i="1"/>
  <c r="AL11" i="1"/>
  <c r="AL15" i="1"/>
  <c r="AL8" i="1"/>
  <c r="AL12" i="1"/>
  <c r="AL16" i="1"/>
  <c r="AL9" i="1"/>
  <c r="AL13" i="1"/>
  <c r="AM5" i="1"/>
  <c r="AM9" i="1" l="1"/>
  <c r="AM13" i="1"/>
  <c r="AM12" i="1"/>
  <c r="AM16" i="1"/>
  <c r="AM10" i="1"/>
  <c r="AM14" i="1"/>
  <c r="AM8" i="1"/>
  <c r="AM7" i="1"/>
  <c r="AM11" i="1"/>
  <c r="AM15" i="1"/>
  <c r="AN5" i="1"/>
  <c r="AN15" i="1" l="1"/>
  <c r="AN9" i="1"/>
  <c r="AN13" i="1"/>
  <c r="AN10" i="1"/>
  <c r="AN14" i="1"/>
  <c r="AN7" i="1"/>
  <c r="AN11" i="1"/>
  <c r="AN12" i="1"/>
  <c r="AN16" i="1"/>
  <c r="AN8" i="1"/>
  <c r="AO5" i="1"/>
  <c r="AO8" i="1" l="1"/>
  <c r="AO12" i="1"/>
  <c r="AO16" i="1"/>
  <c r="AO9" i="1"/>
  <c r="AO13" i="1"/>
  <c r="AO15" i="1"/>
  <c r="AO7" i="1"/>
  <c r="AO10" i="1"/>
  <c r="AO14" i="1"/>
  <c r="AO11" i="1"/>
  <c r="AP5" i="1"/>
  <c r="AP8" i="1" l="1"/>
  <c r="AP12" i="1"/>
  <c r="AP16" i="1"/>
  <c r="AP9" i="1"/>
  <c r="AP13" i="1"/>
  <c r="AP10" i="1"/>
  <c r="AP14" i="1"/>
  <c r="AP7" i="1"/>
  <c r="AP15" i="1"/>
  <c r="AP11" i="1"/>
  <c r="AQ5" i="1"/>
  <c r="AO4" i="1"/>
  <c r="AQ7" i="1" l="1"/>
  <c r="AQ11" i="1"/>
  <c r="AQ15" i="1"/>
  <c r="AQ10" i="1"/>
  <c r="AQ8" i="1"/>
  <c r="AQ12" i="1"/>
  <c r="AQ16" i="1"/>
  <c r="AQ9" i="1"/>
  <c r="AQ13" i="1"/>
  <c r="AQ14" i="1"/>
  <c r="AR5" i="1"/>
  <c r="AR7" i="1" l="1"/>
  <c r="AR11" i="1"/>
  <c r="AR15" i="1"/>
  <c r="AR8" i="1"/>
  <c r="AR12" i="1"/>
  <c r="AR16" i="1"/>
  <c r="AR9" i="1"/>
  <c r="AR13" i="1"/>
  <c r="AR10" i="1"/>
  <c r="AR14" i="1"/>
</calcChain>
</file>

<file path=xl/sharedStrings.xml><?xml version="1.0" encoding="utf-8"?>
<sst xmlns="http://schemas.openxmlformats.org/spreadsheetml/2006/main" count="51" uniqueCount="40">
  <si>
    <t>Project Start Date:</t>
  </si>
  <si>
    <t>Project Name:</t>
  </si>
  <si>
    <t>Week starting:</t>
  </si>
  <si>
    <t>#</t>
  </si>
  <si>
    <t>Activity</t>
  </si>
  <si>
    <t>Assigned To</t>
  </si>
  <si>
    <t>Start</t>
  </si>
  <si>
    <t>End</t>
  </si>
  <si>
    <t>Days</t>
  </si>
  <si>
    <t>Status</t>
  </si>
  <si>
    <t>%Done</t>
  </si>
  <si>
    <t>Not started</t>
  </si>
  <si>
    <t>In progress</t>
  </si>
  <si>
    <t>Completed</t>
  </si>
  <si>
    <t>Blocked</t>
  </si>
  <si>
    <t>Enterprise CRM System Implementation</t>
  </si>
  <si>
    <t>Project Initiation &amp; Planning</t>
  </si>
  <si>
    <t>Sarah Johnson</t>
  </si>
  <si>
    <t>Requirements Gathering &amp; Analysis</t>
  </si>
  <si>
    <t>Michael Chen</t>
  </si>
  <si>
    <t>System Architecture Design</t>
  </si>
  <si>
    <t>David Kumar</t>
  </si>
  <si>
    <t>Database Design &amp; Development</t>
  </si>
  <si>
    <t>Emma Wilson</t>
  </si>
  <si>
    <t>Backend API Development</t>
  </si>
  <si>
    <t>James Rodriguez</t>
  </si>
  <si>
    <t>Frontend UI Development</t>
  </si>
  <si>
    <t>Lisa Park</t>
  </si>
  <si>
    <t>Integration &amp; System Testing</t>
  </si>
  <si>
    <t>Robert Taylor</t>
  </si>
  <si>
    <t>User Acceptance Testing (UAT)</t>
  </si>
  <si>
    <t>Anna Martinez</t>
  </si>
  <si>
    <t>Deployment &amp; Go-Live</t>
  </si>
  <si>
    <t>Chris Brown</t>
  </si>
  <si>
    <t>Post Go-Live Support &amp; Training</t>
  </si>
  <si>
    <t>Jennifer Lee</t>
  </si>
  <si>
    <t>GANTT CHART</t>
  </si>
  <si>
    <t>Enterprise CRM System Implementation - Project Timeline</t>
  </si>
  <si>
    <t>What is a Gantt Chart?</t>
  </si>
  <si>
    <t>A Gantt Chart is a visual project management tool that displays tasks or activities against time. Each task is represented as a horizontal bar, where:
• The left edge shows when a task starts
• The right edge shows when a task ends
• The length of the bar represents the task duration
• Colors often indicate task status (completed, in progress, blocked, not started)
Gantt charts help project managers and teams see the entire project timeline at a glance, identify task dependencies, track progress, and ensure deadlines are met.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</si>
</sst>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m\-yy"/>
    <numFmt numFmtId="165" formatCode="mmm"/>
    <numFmt numFmtId="166" formatCode="yyyy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8"/>
      <color rgb="FFFFFFFF"/>
      <name val="Segoe UI"/>
      <family val="2"/>
    </font>
    <font>
      <i/>
      <sz val="11"/>
      <color rgb="FF1F4E79"/>
      <name val="Segoe UI"/>
      <family val="2"/>
    </font>
    <font>
      <b/>
      <sz val="11"/>
      <color rgb="FFFFFFFF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1F4E79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11"/>
      <color rgb="FFFFFFFF"/>
      <name val="Segoe UI"/>
      <family val="2"/>
    </font>
    <font>
      <b/>
      <sz val="10"/>
      <color rgb="FF1F4E79"/>
      <name val="Segoe UI"/>
      <family val="2"/>
    </font>
    <font>
      <sz val="10"/>
      <color rgb="FF333333"/>
      <name val="Segoe UI"/>
      <family val="2"/>
    </font>
    <font>
      <sz val="10"/>
      <color rgb="FF595959"/>
      <name val="Segoe UI"/>
      <family val="2"/>
    </font>
    <font>
      <b/>
      <sz val="10"/>
      <color rgb="FF2E75B6"/>
      <name val="Segoe UI"/>
      <family val="2"/>
    </font>
    <font>
      <b/>
      <sz val="10"/>
      <color rgb="FF006100"/>
      <name val="Segoe UI"/>
      <family val="2"/>
    </font>
    <font>
      <b/>
      <sz val="10"/>
      <color rgb="FF9C0006"/>
      <name val="Segoe UI"/>
      <family val="2"/>
    </font>
    <font>
      <b/>
      <sz val="10"/>
      <color rgb="FF9C5700"/>
      <name val="Segoe UI"/>
      <family val="2"/>
    </font>
    <font>
      <b/>
      <sz val="10"/>
      <color rgb="FF595959"/>
      <name val="Segoe UI"/>
      <family val="2"/>
    </font>
    <font>
      <b/>
      <sz val="12"/>
      <color rgb="FF1F4E79"/>
      <name val="Aptos Narrow"/>
      <family val="2"/>
      <scheme val="minor"/>
    </font>
    <font>
      <b/>
      <sz val="11"/>
      <color rgb="FF595959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6"/>
      <color rgb="FF006100"/>
      <name val="Wingdings"/>
      <charset val="2"/>
    </font>
    <font>
      <sz val="16"/>
      <color rgb="FF9C0006"/>
      <name val="Wingdings"/>
      <charset val="2"/>
    </font>
    <font>
      <sz val="16"/>
      <color rgb="FF9C5700"/>
      <name val="Wingdings"/>
      <charset val="2"/>
    </font>
    <font>
      <sz val="16"/>
      <color rgb="FF595959"/>
      <name val="Wingdings"/>
      <charset val="2"/>
    </font>
    <font>
      <b/>
      <sz val="11"/>
      <color rgb="FF2E75B6"/>
      <name val="Aptos Narrow"/>
      <family val="2"/>
      <scheme val="minor"/>
    </font>
    <font>
      <b/>
      <i/>
      <sz val="11"/>
      <color rgb="FF2E75B6"/>
      <name val="Aptos Narrow"/>
      <family val="2"/>
      <scheme val="minor"/>
    </font>
    <font>
      <b/>
      <i/>
      <sz val="10"/>
      <color rgb="FF1F4E79"/>
      <name val="Aptos Narrow"/>
      <family val="2"/>
      <scheme val="minor"/>
    </font>
    <font>
      <sz val="11"/>
      <color rgb="FF2E4057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E0E0E0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AFCFE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5F7FA"/>
        <bgColor indexed="64"/>
      </patternFill>
    </fill>
  </fills>
  <borders count="51">
    <border>
      <left/>
      <right/>
      <top/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14993743705557422"/>
      </right>
      <top style="medium">
        <color rgb="FFFFFFFF"/>
      </top>
      <bottom/>
      <diagonal/>
    </border>
    <border>
      <left/>
      <right/>
      <top style="medium">
        <color rgb="FFFFFFFF"/>
      </top>
      <bottom/>
      <diagonal/>
    </border>
    <border>
      <left/>
      <right style="thin">
        <color theme="0" tint="-0.14993743705557422"/>
      </right>
      <top style="thin">
        <color rgb="FFD6DCE5"/>
      </top>
      <bottom/>
      <diagonal/>
    </border>
    <border>
      <left/>
      <right/>
      <top style="thin">
        <color rgb="FFD6DCE5"/>
      </top>
      <bottom/>
      <diagonal/>
    </border>
    <border>
      <left style="thin">
        <color rgb="FFE0E6ED"/>
      </left>
      <right style="thin">
        <color rgb="FFE0E6ED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rgb="FFE0E6ED"/>
      </right>
      <top/>
      <bottom style="thin">
        <color theme="0" tint="-0.14996795556505021"/>
      </bottom>
      <diagonal/>
    </border>
    <border>
      <left/>
      <right/>
      <top style="medium">
        <color rgb="FF1F4E79"/>
      </top>
      <bottom/>
      <diagonal/>
    </border>
    <border>
      <left/>
      <right style="thin">
        <color theme="0" tint="-0.14993743705557422"/>
      </right>
      <top style="thin">
        <color rgb="FFD6DCE5"/>
      </top>
      <bottom style="medium">
        <color rgb="FF1F4E79"/>
      </bottom>
      <diagonal/>
    </border>
    <border>
      <left/>
      <right/>
      <top style="thin">
        <color rgb="FFD6DCE5"/>
      </top>
      <bottom style="medium">
        <color rgb="FF1F4E79"/>
      </bottom>
      <diagonal/>
    </border>
    <border>
      <left/>
      <right/>
      <top/>
      <bottom style="medium">
        <color rgb="FF1F4E79"/>
      </bottom>
      <diagonal/>
    </border>
    <border>
      <left style="thin">
        <color theme="0" tint="-0.14996795556505021"/>
      </left>
      <right style="thin">
        <color rgb="FFE0E6ED"/>
      </right>
      <top/>
      <bottom style="medium">
        <color rgb="FF1F4E79"/>
      </bottom>
      <diagonal/>
    </border>
    <border>
      <left style="thin">
        <color rgb="FFE0E6ED"/>
      </left>
      <right style="thin">
        <color rgb="FFE0E6ED"/>
      </right>
      <top/>
      <bottom style="medium">
        <color rgb="FF1F4E79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 style="medium">
        <color rgb="FFFFFFFF"/>
      </top>
      <bottom/>
      <diagonal/>
    </border>
    <border>
      <left style="medium">
        <color rgb="FF1F4E79"/>
      </left>
      <right/>
      <top style="thin">
        <color rgb="FFD6DCE5"/>
      </top>
      <bottom/>
      <diagonal/>
    </border>
    <border>
      <left style="medium">
        <color rgb="FF1F4E79"/>
      </left>
      <right/>
      <top style="thin">
        <color rgb="FFD6DCE5"/>
      </top>
      <bottom style="medium">
        <color rgb="FF1F4E79"/>
      </bottom>
      <diagonal/>
    </border>
    <border>
      <left style="thin">
        <color rgb="FFE0E6ED"/>
      </left>
      <right style="medium">
        <color rgb="FF1F4E79"/>
      </right>
      <top style="thin">
        <color theme="0" tint="-0.14993743705557422"/>
      </top>
      <bottom style="thin">
        <color theme="0" tint="-0.14996795556505021"/>
      </bottom>
      <diagonal/>
    </border>
    <border>
      <left style="thin">
        <color rgb="FFE0E6ED"/>
      </left>
      <right style="medium">
        <color rgb="FF1F4E79"/>
      </right>
      <top/>
      <bottom style="thin">
        <color theme="0" tint="-0.14996795556505021"/>
      </bottom>
      <diagonal/>
    </border>
    <border>
      <left style="thin">
        <color rgb="FFE0E6ED"/>
      </left>
      <right style="medium">
        <color rgb="FF1F4E79"/>
      </right>
      <top/>
      <bottom style="medium">
        <color rgb="FF1F4E79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1F4E79"/>
      </left>
      <right/>
      <top/>
      <bottom/>
      <diagonal/>
    </border>
    <border>
      <left/>
      <right style="thin">
        <color theme="0" tint="-0.14993743705557422"/>
      </right>
      <top/>
      <bottom/>
      <diagonal/>
    </border>
    <border>
      <left/>
      <right style="thin">
        <color rgb="FFE0E6ED"/>
      </right>
      <top/>
      <bottom style="thin">
        <color theme="0" tint="-0.14993743705557422"/>
      </bottom>
      <diagonal/>
    </border>
    <border>
      <left style="thin">
        <color rgb="FFE0E6ED"/>
      </left>
      <right style="thin">
        <color rgb="FFE0E6ED"/>
      </right>
      <top/>
      <bottom style="thin">
        <color theme="0" tint="-0.14993743705557422"/>
      </bottom>
      <diagonal/>
    </border>
    <border>
      <left style="thin">
        <color rgb="FFE0E6ED"/>
      </left>
      <right style="medium">
        <color rgb="FF1F4E79"/>
      </right>
      <top/>
      <bottom style="thin">
        <color theme="0" tint="-0.14993743705557422"/>
      </bottom>
      <diagonal/>
    </border>
    <border>
      <left style="thin">
        <color theme="0" tint="-0.1498764000366222"/>
      </left>
      <right style="thin">
        <color rgb="FFE0E6ED"/>
      </right>
      <top style="thin">
        <color theme="0" tint="-0.14990691854609822"/>
      </top>
      <bottom style="thin">
        <color rgb="FF2E75B6"/>
      </bottom>
      <diagonal/>
    </border>
    <border>
      <left style="thin">
        <color rgb="FFE0E6ED"/>
      </left>
      <right style="thin">
        <color rgb="FFE0E6ED"/>
      </right>
      <top/>
      <bottom style="thin">
        <color rgb="FF2E75B6"/>
      </bottom>
      <diagonal/>
    </border>
    <border>
      <left style="thin">
        <color rgb="FFE0E6ED"/>
      </left>
      <right style="thin">
        <color theme="0" tint="-0.14993743705557422"/>
      </right>
      <top style="thin">
        <color theme="0" tint="-0.14996795556505021"/>
      </top>
      <bottom style="thin">
        <color rgb="FF2E75B6"/>
      </bottom>
      <diagonal/>
    </border>
    <border>
      <left/>
      <right/>
      <top style="thin">
        <color rgb="FFBDD7EE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DD7EE"/>
      </bottom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rgb="FFBDD7EE"/>
      </left>
      <right/>
      <top/>
      <bottom/>
      <diagonal/>
    </border>
    <border>
      <left style="thin">
        <color rgb="FFBDD7EE"/>
      </left>
      <right/>
      <top/>
      <bottom style="thin">
        <color rgb="FFBDD7EE"/>
      </bottom>
      <diagonal/>
    </border>
    <border>
      <left/>
      <right style="thin">
        <color rgb="FFBDD7EE"/>
      </right>
      <top style="thin">
        <color rgb="FFBDD7EE"/>
      </top>
      <bottom/>
      <diagonal/>
    </border>
    <border>
      <left/>
      <right style="thin">
        <color rgb="FFBDD7EE"/>
      </right>
      <top/>
      <bottom/>
      <diagonal/>
    </border>
    <border>
      <left/>
      <right style="thin">
        <color rgb="FFBDD7EE"/>
      </right>
      <top/>
      <bottom style="thin">
        <color rgb="FFBDD7EE"/>
      </bottom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1F4E79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0">
    <xf numFmtId="0" fontId="0" fillId="0" borderId="0" xfId="0"/>
    <xf numFmtId="166" fontId="6" fillId="4" borderId="0" xfId="0" applyNumberFormat="1" applyFont="1" applyFill="1" applyAlignment="1">
      <alignment horizontal="center"/>
    </xf>
    <xf numFmtId="166" fontId="6" fillId="4" borderId="4" xfId="0" applyNumberFormat="1" applyFont="1" applyFill="1" applyBorder="1" applyAlignment="1">
      <alignment horizontal="center"/>
    </xf>
    <xf numFmtId="165" fontId="5" fillId="5" borderId="1" xfId="0" applyNumberFormat="1" applyFont="1" applyFill="1" applyBorder="1" applyAlignment="1">
      <alignment horizontal="center"/>
    </xf>
    <xf numFmtId="165" fontId="5" fillId="5" borderId="2" xfId="0" applyNumberFormat="1" applyFont="1" applyFill="1" applyBorder="1" applyAlignment="1">
      <alignment horizontal="center"/>
    </xf>
    <xf numFmtId="165" fontId="5" fillId="5" borderId="3" xfId="0" applyNumberFormat="1" applyFont="1" applyFill="1" applyBorder="1" applyAlignment="1">
      <alignment horizontal="center"/>
    </xf>
    <xf numFmtId="0" fontId="11" fillId="7" borderId="9" xfId="0" applyFont="1" applyFill="1" applyBorder="1" applyAlignment="1">
      <alignment horizontal="left" vertical="center" indent="2"/>
    </xf>
    <xf numFmtId="0" fontId="11" fillId="8" borderId="11" xfId="0" applyFont="1" applyFill="1" applyBorder="1" applyAlignment="1">
      <alignment horizontal="left" vertical="center" indent="2"/>
    </xf>
    <xf numFmtId="0" fontId="11" fillId="7" borderId="11" xfId="0" applyFont="1" applyFill="1" applyBorder="1" applyAlignment="1">
      <alignment horizontal="left" vertical="center" indent="2"/>
    </xf>
    <xf numFmtId="0" fontId="12" fillId="7" borderId="10" xfId="0" applyFont="1" applyFill="1" applyBorder="1" applyAlignment="1">
      <alignment horizontal="left" vertical="center" indent="2"/>
    </xf>
    <xf numFmtId="0" fontId="12" fillId="8" borderId="12" xfId="0" applyFont="1" applyFill="1" applyBorder="1" applyAlignment="1">
      <alignment horizontal="left" vertical="center" indent="2"/>
    </xf>
    <xf numFmtId="0" fontId="12" fillId="7" borderId="12" xfId="0" applyFont="1" applyFill="1" applyBorder="1" applyAlignment="1">
      <alignment horizontal="left" vertical="center" indent="2"/>
    </xf>
    <xf numFmtId="15" fontId="12" fillId="7" borderId="10" xfId="0" applyNumberFormat="1" applyFont="1" applyFill="1" applyBorder="1" applyAlignment="1">
      <alignment horizontal="center" vertical="center" indent="2"/>
    </xf>
    <xf numFmtId="15" fontId="12" fillId="7" borderId="10" xfId="0" applyNumberFormat="1" applyFont="1" applyFill="1" applyBorder="1" applyAlignment="1">
      <alignment horizontal="center" vertical="center" indent="1"/>
    </xf>
    <xf numFmtId="15" fontId="12" fillId="8" borderId="12" xfId="0" applyNumberFormat="1" applyFont="1" applyFill="1" applyBorder="1" applyAlignment="1">
      <alignment horizontal="center" vertical="center" indent="2"/>
    </xf>
    <xf numFmtId="15" fontId="12" fillId="8" borderId="12" xfId="0" applyNumberFormat="1" applyFont="1" applyFill="1" applyBorder="1" applyAlignment="1">
      <alignment horizontal="center" vertical="center" indent="1"/>
    </xf>
    <xf numFmtId="15" fontId="12" fillId="7" borderId="12" xfId="0" applyNumberFormat="1" applyFont="1" applyFill="1" applyBorder="1" applyAlignment="1">
      <alignment horizontal="center" vertical="center" indent="2"/>
    </xf>
    <xf numFmtId="15" fontId="12" fillId="7" borderId="12" xfId="0" applyNumberFormat="1" applyFont="1" applyFill="1" applyBorder="1" applyAlignment="1">
      <alignment horizontal="center" vertical="center" indent="1"/>
    </xf>
    <xf numFmtId="0" fontId="13" fillId="7" borderId="10" xfId="0" applyFont="1" applyFill="1" applyBorder="1" applyAlignment="1">
      <alignment horizontal="center" vertical="center" indent="1"/>
    </xf>
    <xf numFmtId="0" fontId="13" fillId="8" borderId="12" xfId="0" applyFont="1" applyFill="1" applyBorder="1" applyAlignment="1">
      <alignment horizontal="center" vertical="center" indent="1"/>
    </xf>
    <xf numFmtId="0" fontId="13" fillId="7" borderId="12" xfId="0" applyFont="1" applyFill="1" applyBorder="1" applyAlignment="1">
      <alignment horizontal="center" vertical="center" indent="1"/>
    </xf>
    <xf numFmtId="0" fontId="14" fillId="9" borderId="10" xfId="0" applyFont="1" applyFill="1" applyBorder="1" applyAlignment="1">
      <alignment horizontal="center" vertical="center" indent="1"/>
    </xf>
    <xf numFmtId="0" fontId="14" fillId="9" borderId="12" xfId="0" applyFont="1" applyFill="1" applyBorder="1" applyAlignment="1">
      <alignment horizontal="center" vertical="center" indent="1"/>
    </xf>
    <xf numFmtId="0" fontId="15" fillId="10" borderId="12" xfId="0" applyFont="1" applyFill="1" applyBorder="1" applyAlignment="1">
      <alignment horizontal="center" vertical="center" indent="1"/>
    </xf>
    <xf numFmtId="0" fontId="16" fillId="11" borderId="12" xfId="0" applyFont="1" applyFill="1" applyBorder="1" applyAlignment="1">
      <alignment horizontal="center" vertical="center" indent="1"/>
    </xf>
    <xf numFmtId="0" fontId="17" fillId="12" borderId="12" xfId="0" applyFont="1" applyFill="1" applyBorder="1" applyAlignment="1">
      <alignment horizontal="center" vertical="center" indent="1"/>
    </xf>
    <xf numFmtId="0" fontId="11" fillId="8" borderId="16" xfId="0" applyFont="1" applyFill="1" applyBorder="1" applyAlignment="1">
      <alignment horizontal="left" vertical="center" indent="2"/>
    </xf>
    <xf numFmtId="0" fontId="12" fillId="8" borderId="17" xfId="0" applyFont="1" applyFill="1" applyBorder="1" applyAlignment="1">
      <alignment horizontal="left" vertical="center" indent="2"/>
    </xf>
    <xf numFmtId="15" fontId="12" fillId="8" borderId="17" xfId="0" applyNumberFormat="1" applyFont="1" applyFill="1" applyBorder="1" applyAlignment="1">
      <alignment horizontal="center" vertical="center" indent="2"/>
    </xf>
    <xf numFmtId="15" fontId="12" fillId="8" borderId="17" xfId="0" applyNumberFormat="1" applyFont="1" applyFill="1" applyBorder="1" applyAlignment="1">
      <alignment horizontal="center" vertical="center" indent="1"/>
    </xf>
    <xf numFmtId="0" fontId="13" fillId="8" borderId="17" xfId="0" applyFont="1" applyFill="1" applyBorder="1" applyAlignment="1">
      <alignment horizontal="center" vertical="center" indent="1"/>
    </xf>
    <xf numFmtId="0" fontId="17" fillId="12" borderId="17" xfId="0" applyFont="1" applyFill="1" applyBorder="1" applyAlignment="1">
      <alignment horizontal="center" vertical="center" indent="1"/>
    </xf>
    <xf numFmtId="0" fontId="10" fillId="7" borderId="22" xfId="0" applyFont="1" applyFill="1" applyBorder="1" applyAlignment="1">
      <alignment horizontal="center" vertical="center"/>
    </xf>
    <xf numFmtId="0" fontId="10" fillId="8" borderId="23" xfId="0" applyFont="1" applyFill="1" applyBorder="1" applyAlignment="1">
      <alignment horizontal="center" vertical="center"/>
    </xf>
    <xf numFmtId="0" fontId="10" fillId="7" borderId="23" xfId="0" applyFont="1" applyFill="1" applyBorder="1" applyAlignment="1">
      <alignment horizontal="center" vertical="center"/>
    </xf>
    <xf numFmtId="0" fontId="10" fillId="8" borderId="24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0" fillId="2" borderId="0" xfId="0" applyFill="1" applyBorder="1"/>
    <xf numFmtId="0" fontId="4" fillId="3" borderId="18" xfId="0" applyFont="1" applyFill="1" applyBorder="1" applyAlignment="1">
      <alignment horizontal="center" vertical="center"/>
    </xf>
    <xf numFmtId="0" fontId="0" fillId="3" borderId="18" xfId="0" applyFill="1" applyBorder="1"/>
    <xf numFmtId="0" fontId="9" fillId="2" borderId="30" xfId="0" applyFont="1" applyFill="1" applyBorder="1" applyAlignment="1">
      <alignment horizontal="center" vertical="center"/>
    </xf>
    <xf numFmtId="0" fontId="9" fillId="2" borderId="31" xfId="0" applyFont="1" applyFill="1" applyBorder="1" applyAlignment="1">
      <alignment horizontal="center" vertical="center" indent="2"/>
    </xf>
    <xf numFmtId="0" fontId="9" fillId="2" borderId="0" xfId="0" applyFont="1" applyFill="1" applyBorder="1" applyAlignment="1">
      <alignment horizontal="center" vertical="center" indent="2"/>
    </xf>
    <xf numFmtId="0" fontId="9" fillId="2" borderId="0" xfId="0" applyFont="1" applyFill="1" applyBorder="1" applyAlignment="1">
      <alignment horizontal="center" vertical="center" indent="1"/>
    </xf>
    <xf numFmtId="0" fontId="9" fillId="2" borderId="31" xfId="0" applyFont="1" applyFill="1" applyBorder="1" applyAlignment="1">
      <alignment horizontal="center" vertical="center" indent="1"/>
    </xf>
    <xf numFmtId="0" fontId="0" fillId="0" borderId="32" xfId="0" applyBorder="1"/>
    <xf numFmtId="0" fontId="0" fillId="0" borderId="33" xfId="0" applyBorder="1"/>
    <xf numFmtId="0" fontId="0" fillId="0" borderId="34" xfId="0" applyBorder="1"/>
    <xf numFmtId="16" fontId="8" fillId="6" borderId="35" xfId="0" applyNumberFormat="1" applyFont="1" applyFill="1" applyBorder="1" applyAlignment="1">
      <alignment horizontal="center" vertical="center" textRotation="90"/>
    </xf>
    <xf numFmtId="16" fontId="8" fillId="6" borderId="36" xfId="0" applyNumberFormat="1" applyFont="1" applyFill="1" applyBorder="1" applyAlignment="1">
      <alignment horizontal="center" vertical="center" textRotation="90"/>
    </xf>
    <xf numFmtId="16" fontId="8" fillId="6" borderId="37" xfId="0" applyNumberFormat="1" applyFont="1" applyFill="1" applyBorder="1" applyAlignment="1">
      <alignment horizontal="center" vertical="center" textRotation="90"/>
    </xf>
    <xf numFmtId="0" fontId="0" fillId="0" borderId="0" xfId="0" applyFill="1"/>
    <xf numFmtId="0" fontId="23" fillId="13" borderId="14" xfId="0" applyFont="1" applyFill="1" applyBorder="1" applyAlignment="1">
      <alignment horizontal="center" vertical="center"/>
    </xf>
    <xf numFmtId="0" fontId="23" fillId="13" borderId="13" xfId="0" applyFont="1" applyFill="1" applyBorder="1" applyAlignment="1">
      <alignment horizontal="center" vertical="center"/>
    </xf>
    <xf numFmtId="0" fontId="23" fillId="13" borderId="25" xfId="0" applyFont="1" applyFill="1" applyBorder="1" applyAlignment="1">
      <alignment horizontal="center" vertical="center"/>
    </xf>
    <xf numFmtId="0" fontId="23" fillId="13" borderId="26" xfId="0" applyFont="1" applyFill="1" applyBorder="1" applyAlignment="1">
      <alignment horizontal="center" vertical="center"/>
    </xf>
    <xf numFmtId="0" fontId="24" fillId="13" borderId="14" xfId="0" applyFont="1" applyFill="1" applyBorder="1" applyAlignment="1">
      <alignment horizontal="center" vertical="center"/>
    </xf>
    <xf numFmtId="0" fontId="24" fillId="13" borderId="13" xfId="0" applyFont="1" applyFill="1" applyBorder="1" applyAlignment="1">
      <alignment horizontal="center" vertical="center"/>
    </xf>
    <xf numFmtId="0" fontId="24" fillId="13" borderId="26" xfId="0" applyFont="1" applyFill="1" applyBorder="1" applyAlignment="1">
      <alignment horizontal="center" vertical="center"/>
    </xf>
    <xf numFmtId="0" fontId="25" fillId="13" borderId="14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0" fontId="25" fillId="13" borderId="26" xfId="0" applyFont="1" applyFill="1" applyBorder="1" applyAlignment="1">
      <alignment horizontal="center" vertical="center"/>
    </xf>
    <xf numFmtId="0" fontId="26" fillId="13" borderId="14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0" fontId="26" fillId="13" borderId="26" xfId="0" applyFont="1" applyFill="1" applyBorder="1" applyAlignment="1">
      <alignment horizontal="center" vertical="center"/>
    </xf>
    <xf numFmtId="0" fontId="26" fillId="13" borderId="19" xfId="0" applyFont="1" applyFill="1" applyBorder="1" applyAlignment="1">
      <alignment horizontal="center" vertical="center"/>
    </xf>
    <xf numFmtId="0" fontId="26" fillId="13" borderId="20" xfId="0" applyFont="1" applyFill="1" applyBorder="1" applyAlignment="1">
      <alignment horizontal="center" vertical="center"/>
    </xf>
    <xf numFmtId="0" fontId="26" fillId="13" borderId="27" xfId="0" applyFont="1" applyFill="1" applyBorder="1" applyAlignment="1">
      <alignment horizontal="center" vertical="center"/>
    </xf>
    <xf numFmtId="0" fontId="0" fillId="0" borderId="5" xfId="0" applyFill="1" applyBorder="1"/>
    <xf numFmtId="0" fontId="0" fillId="14" borderId="40" xfId="0" applyFill="1" applyBorder="1"/>
    <xf numFmtId="0" fontId="0" fillId="14" borderId="43" xfId="0" applyFill="1" applyBorder="1"/>
    <xf numFmtId="0" fontId="0" fillId="14" borderId="41" xfId="0" applyFill="1" applyBorder="1"/>
    <xf numFmtId="0" fontId="19" fillId="14" borderId="29" xfId="0" applyFont="1" applyFill="1" applyBorder="1" applyAlignment="1">
      <alignment horizontal="center"/>
    </xf>
    <xf numFmtId="0" fontId="0" fillId="14" borderId="44" xfId="0" applyFill="1" applyBorder="1"/>
    <xf numFmtId="0" fontId="20" fillId="14" borderId="29" xfId="0" applyFont="1" applyFill="1" applyBorder="1" applyAlignment="1">
      <alignment horizontal="center"/>
    </xf>
    <xf numFmtId="0" fontId="21" fillId="14" borderId="29" xfId="0" applyFont="1" applyFill="1" applyBorder="1" applyAlignment="1">
      <alignment horizontal="center"/>
    </xf>
    <xf numFmtId="0" fontId="0" fillId="14" borderId="42" xfId="0" applyFill="1" applyBorder="1"/>
    <xf numFmtId="0" fontId="22" fillId="14" borderId="39" xfId="0" applyFont="1" applyFill="1" applyBorder="1" applyAlignment="1">
      <alignment horizontal="center"/>
    </xf>
    <xf numFmtId="0" fontId="0" fillId="14" borderId="45" xfId="0" applyFill="1" applyBorder="1"/>
    <xf numFmtId="9" fontId="14" fillId="9" borderId="9" xfId="1" applyNumberFormat="1" applyFont="1" applyFill="1" applyBorder="1" applyAlignment="1">
      <alignment horizontal="center" vertical="center" indent="1"/>
    </xf>
    <xf numFmtId="9" fontId="14" fillId="9" borderId="11" xfId="1" applyNumberFormat="1" applyFont="1" applyFill="1" applyBorder="1" applyAlignment="1">
      <alignment horizontal="center" vertical="center" indent="1"/>
    </xf>
    <xf numFmtId="9" fontId="15" fillId="10" borderId="11" xfId="1" applyNumberFormat="1" applyFont="1" applyFill="1" applyBorder="1" applyAlignment="1">
      <alignment horizontal="center" vertical="center" indent="1"/>
    </xf>
    <xf numFmtId="9" fontId="16" fillId="11" borderId="11" xfId="1" applyNumberFormat="1" applyFont="1" applyFill="1" applyBorder="1" applyAlignment="1">
      <alignment horizontal="center" vertical="center" indent="1"/>
    </xf>
    <xf numFmtId="9" fontId="17" fillId="12" borderId="11" xfId="1" applyNumberFormat="1" applyFont="1" applyFill="1" applyBorder="1" applyAlignment="1">
      <alignment horizontal="center" vertical="center" indent="1"/>
    </xf>
    <xf numFmtId="9" fontId="17" fillId="12" borderId="11" xfId="0" applyNumberFormat="1" applyFont="1" applyFill="1" applyBorder="1" applyAlignment="1">
      <alignment horizontal="center" vertical="center" indent="1"/>
    </xf>
    <xf numFmtId="9" fontId="17" fillId="12" borderId="16" xfId="0" applyNumberFormat="1" applyFont="1" applyFill="1" applyBorder="1" applyAlignment="1">
      <alignment horizontal="center" vertical="center" indent="1"/>
    </xf>
    <xf numFmtId="0" fontId="7" fillId="15" borderId="6" xfId="0" applyFont="1" applyFill="1" applyBorder="1" applyAlignment="1">
      <alignment horizontal="right"/>
    </xf>
    <xf numFmtId="0" fontId="0" fillId="2" borderId="21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0" xfId="0" applyFill="1" applyBorder="1" applyAlignment="1">
      <alignment horizontal="left"/>
    </xf>
    <xf numFmtId="0" fontId="0" fillId="2" borderId="48" xfId="0" applyFill="1" applyBorder="1" applyAlignment="1">
      <alignment horizontal="left"/>
    </xf>
    <xf numFmtId="0" fontId="29" fillId="15" borderId="49" xfId="0" applyFont="1" applyFill="1" applyBorder="1" applyAlignment="1">
      <alignment horizontal="center" vertical="center"/>
    </xf>
    <xf numFmtId="0" fontId="7" fillId="15" borderId="50" xfId="0" applyFont="1" applyFill="1" applyBorder="1" applyAlignment="1">
      <alignment horizontal="right" vertical="center"/>
    </xf>
    <xf numFmtId="0" fontId="0" fillId="2" borderId="15" xfId="0" applyFill="1" applyBorder="1" applyAlignment="1">
      <alignment horizontal="left"/>
    </xf>
    <xf numFmtId="164" fontId="27" fillId="8" borderId="29" xfId="0" applyNumberFormat="1" applyFont="1" applyFill="1" applyBorder="1" applyAlignment="1">
      <alignment horizontal="left"/>
    </xf>
    <xf numFmtId="0" fontId="28" fillId="8" borderId="7" xfId="0" applyFont="1" applyFill="1" applyBorder="1" applyAlignment="1">
      <alignment horizontal="left" vertical="center"/>
    </xf>
    <xf numFmtId="0" fontId="27" fillId="8" borderId="28" xfId="0" applyFont="1" applyFill="1" applyBorder="1" applyAlignment="1">
      <alignment horizontal="left" vertical="center"/>
    </xf>
    <xf numFmtId="0" fontId="27" fillId="8" borderId="8" xfId="0" applyFont="1" applyFill="1" applyBorder="1" applyAlignment="1">
      <alignment horizontal="left" vertical="center"/>
    </xf>
    <xf numFmtId="0" fontId="18" fillId="14" borderId="38" xfId="0" applyFont="1" applyFill="1" applyBorder="1" applyAlignment="1">
      <alignment horizontal="left"/>
    </xf>
    <xf numFmtId="0" fontId="30" fillId="16" borderId="0" xfId="0" applyFont="1" applyFill="1" applyBorder="1" applyAlignment="1">
      <alignment horizontal="left" vertical="top" wrapText="1"/>
    </xf>
    <xf numFmtId="0" fontId="6" fillId="2" borderId="15" xfId="0" applyFont="1" applyFill="1" applyBorder="1" applyAlignment="1">
      <alignment horizontal="center" vertical="center"/>
    </xf>
    <xf numFmtId="0" fontId="30" fillId="16" borderId="18" xfId="0" applyFont="1" applyFill="1" applyBorder="1" applyAlignment="1">
      <alignment horizontal="left" vertical="top" wrapText="1"/>
    </xf>
    <xf numFmtId="0" fontId="6" fillId="2" borderId="21" xfId="0" applyFont="1" applyFill="1" applyBorder="1" applyAlignment="1">
      <alignment horizontal="center" vertical="center"/>
    </xf>
    <xf numFmtId="0" fontId="30" fillId="16" borderId="30" xfId="0" applyFont="1" applyFill="1" applyBorder="1" applyAlignment="1">
      <alignment horizontal="left" vertical="top" wrapText="1"/>
    </xf>
    <xf numFmtId="0" fontId="30" fillId="16" borderId="46" xfId="0" applyFont="1" applyFill="1" applyBorder="1" applyAlignment="1">
      <alignment horizontal="left" vertical="top" wrapText="1"/>
    </xf>
    <xf numFmtId="0" fontId="6" fillId="2" borderId="47" xfId="0" applyFont="1" applyFill="1" applyBorder="1" applyAlignment="1">
      <alignment horizontal="center" vertical="center"/>
    </xf>
    <xf numFmtId="0" fontId="30" fillId="16" borderId="48" xfId="0" applyFont="1" applyFill="1" applyBorder="1" applyAlignment="1">
      <alignment horizontal="left" vertical="top" wrapText="1"/>
    </xf>
    <xf numFmtId="0" fontId="30" fillId="16" borderId="49" xfId="0" applyFont="1" applyFill="1" applyBorder="1" applyAlignment="1">
      <alignment horizontal="left" vertical="top" wrapText="1"/>
    </xf>
  </cellXfs>
  <cellStyles count="2">
    <cellStyle name="Normal" xfId="0" builtinId="0"/>
    <cellStyle name="Percent" xfId="1" builtinId="5"/>
  </cellStyles>
  <dxfs count="4">
    <dxf>
      <border>
        <left style="thin">
          <color auto="1"/>
        </left>
        <vertical/>
        <horizontal/>
      </border>
    </dxf>
    <dxf>
      <fill>
        <patternFill>
          <bgColor rgb="FF99CCFF"/>
        </patternFill>
      </fill>
    </dxf>
    <dxf>
      <fill>
        <patternFill>
          <bgColor rgb="FF5DAEFF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5DAEFF"/>
      <color rgb="FF4FA7FF"/>
      <color rgb="FF99CCFF"/>
      <color rgb="FF00E3DE"/>
      <color rgb="FFABFFFF"/>
      <color rgb="FFCCFFFF"/>
      <color rgb="FFC5F1F0"/>
      <color rgb="FF00AAD2"/>
      <color rgb="FF00CCFF"/>
      <color rgb="FF00C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ED8A0-1950-4B36-ACCF-F2686D23D643}">
  <dimension ref="B1:AR30"/>
  <sheetViews>
    <sheetView showGridLines="0" tabSelected="1" workbookViewId="0">
      <pane xSplit="9" ySplit="6" topLeftCell="J7" activePane="bottomRight" state="frozen"/>
      <selection pane="topRight" activeCell="J1" sqref="J1"/>
      <selection pane="bottomLeft" activeCell="A8" sqref="A8"/>
      <selection pane="bottomRight" activeCell="B1" sqref="B1:I1"/>
    </sheetView>
  </sheetViews>
  <sheetFormatPr defaultRowHeight="15" x14ac:dyDescent="0.25"/>
  <cols>
    <col min="1" max="1" width="2.85546875" customWidth="1"/>
    <col min="2" max="2" width="5.7109375" customWidth="1"/>
    <col min="3" max="3" width="41.85546875" customWidth="1"/>
    <col min="4" max="4" width="22.85546875" customWidth="1"/>
    <col min="5" max="6" width="16.140625" customWidth="1"/>
    <col min="7" max="7" width="8.5703125" customWidth="1"/>
    <col min="8" max="8" width="16.140625" customWidth="1"/>
    <col min="9" max="9" width="13.5703125" bestFit="1" customWidth="1"/>
    <col min="10" max="44" width="4.7109375" customWidth="1"/>
  </cols>
  <sheetData>
    <row r="1" spans="2:44" ht="40.5" x14ac:dyDescent="0.25">
      <c r="B1" s="36" t="s">
        <v>36</v>
      </c>
      <c r="C1" s="36"/>
      <c r="D1" s="36"/>
      <c r="E1" s="36"/>
      <c r="F1" s="36"/>
      <c r="G1" s="36"/>
      <c r="H1" s="36"/>
      <c r="I1" s="36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spans="2:44" ht="17.25" thickBot="1" x14ac:dyDescent="0.3">
      <c r="B2" s="38" t="s">
        <v>37</v>
      </c>
      <c r="C2" s="38"/>
      <c r="D2" s="38"/>
      <c r="E2" s="38"/>
      <c r="F2" s="38"/>
      <c r="G2" s="38"/>
      <c r="H2" s="38"/>
      <c r="I2" s="38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</row>
    <row r="3" spans="2:44" ht="18.75" x14ac:dyDescent="0.3">
      <c r="B3" s="87"/>
      <c r="C3" s="88"/>
      <c r="D3" s="88"/>
      <c r="E3" s="88"/>
      <c r="F3" s="88"/>
      <c r="G3" s="88"/>
      <c r="H3" s="88"/>
      <c r="I3" s="88"/>
      <c r="J3" s="1">
        <f ca="1">K5</f>
        <v>46153</v>
      </c>
      <c r="K3" s="1"/>
      <c r="L3" s="1"/>
      <c r="M3" s="1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2:44" ht="15.75" thickBot="1" x14ac:dyDescent="0.3">
      <c r="B4" s="89"/>
      <c r="C4" s="86" t="s">
        <v>0</v>
      </c>
      <c r="D4" s="96">
        <f ca="1">IF(MONTH(TODAY()-WEEKDAY(TODAY(),2)+1)&lt;MONTH(TODAY()),(TODAY()-28-DAY(TODAY())+7)-WEEKDAY((TODAY()-DAY(TODAY())+7),2)+1,(TODAY()-DAY(TODAY())+7)-WEEKDAY((TODAY()-DAY(TODAY())+7),2)+1)</f>
        <v>46146</v>
      </c>
      <c r="E4" s="91"/>
      <c r="F4" s="91"/>
      <c r="G4" s="91"/>
      <c r="H4" s="91"/>
      <c r="I4" s="92"/>
      <c r="J4" s="4">
        <f ca="1">K5</f>
        <v>46153</v>
      </c>
      <c r="K4" s="4"/>
      <c r="L4" s="4"/>
      <c r="M4" s="4"/>
      <c r="N4" s="3">
        <f ca="1">O5</f>
        <v>46181</v>
      </c>
      <c r="O4" s="4"/>
      <c r="P4" s="4"/>
      <c r="Q4" s="4"/>
      <c r="R4" s="4"/>
      <c r="S4" s="4">
        <f ca="1">T5</f>
        <v>46216</v>
      </c>
      <c r="T4" s="4"/>
      <c r="U4" s="4"/>
      <c r="V4" s="4"/>
      <c r="W4" s="4">
        <f ca="1">X5</f>
        <v>46244</v>
      </c>
      <c r="X4" s="4"/>
      <c r="Y4" s="4"/>
      <c r="Z4" s="4"/>
      <c r="AA4" s="4"/>
      <c r="AB4" s="4">
        <f ca="1">AC5</f>
        <v>46279</v>
      </c>
      <c r="AC4" s="4"/>
      <c r="AD4" s="4"/>
      <c r="AE4" s="4"/>
      <c r="AF4" s="4">
        <f ca="1">AG5</f>
        <v>46307</v>
      </c>
      <c r="AG4" s="4"/>
      <c r="AH4" s="4"/>
      <c r="AI4" s="4"/>
      <c r="AJ4" s="4">
        <f ca="1">AK5</f>
        <v>46335</v>
      </c>
      <c r="AK4" s="4"/>
      <c r="AL4" s="4"/>
      <c r="AM4" s="4"/>
      <c r="AN4" s="4"/>
      <c r="AO4" s="4">
        <f ca="1">AP5</f>
        <v>46370</v>
      </c>
      <c r="AP4" s="4"/>
      <c r="AQ4" s="4"/>
      <c r="AR4" s="5"/>
    </row>
    <row r="5" spans="2:44" ht="33" thickBot="1" x14ac:dyDescent="0.3">
      <c r="B5" s="90"/>
      <c r="C5" s="94" t="s">
        <v>1</v>
      </c>
      <c r="D5" s="97" t="s">
        <v>15</v>
      </c>
      <c r="E5" s="98"/>
      <c r="F5" s="98"/>
      <c r="G5" s="99"/>
      <c r="H5" s="95"/>
      <c r="I5" s="93" t="s">
        <v>2</v>
      </c>
      <c r="J5" s="48">
        <f ca="1">D4</f>
        <v>46146</v>
      </c>
      <c r="K5" s="49">
        <f ca="1">J5+7</f>
        <v>46153</v>
      </c>
      <c r="L5" s="49">
        <f t="shared" ref="L5:AR5" ca="1" si="0">K5+7</f>
        <v>46160</v>
      </c>
      <c r="M5" s="49">
        <f t="shared" ca="1" si="0"/>
        <v>46167</v>
      </c>
      <c r="N5" s="49">
        <f t="shared" ca="1" si="0"/>
        <v>46174</v>
      </c>
      <c r="O5" s="49">
        <f t="shared" ca="1" si="0"/>
        <v>46181</v>
      </c>
      <c r="P5" s="49">
        <f t="shared" ca="1" si="0"/>
        <v>46188</v>
      </c>
      <c r="Q5" s="49">
        <f t="shared" ca="1" si="0"/>
        <v>46195</v>
      </c>
      <c r="R5" s="49">
        <f t="shared" ca="1" si="0"/>
        <v>46202</v>
      </c>
      <c r="S5" s="49">
        <f t="shared" ca="1" si="0"/>
        <v>46209</v>
      </c>
      <c r="T5" s="49">
        <f t="shared" ca="1" si="0"/>
        <v>46216</v>
      </c>
      <c r="U5" s="49">
        <f t="shared" ca="1" si="0"/>
        <v>46223</v>
      </c>
      <c r="V5" s="49">
        <f t="shared" ca="1" si="0"/>
        <v>46230</v>
      </c>
      <c r="W5" s="49">
        <f t="shared" ca="1" si="0"/>
        <v>46237</v>
      </c>
      <c r="X5" s="49">
        <f t="shared" ca="1" si="0"/>
        <v>46244</v>
      </c>
      <c r="Y5" s="49">
        <f t="shared" ca="1" si="0"/>
        <v>46251</v>
      </c>
      <c r="Z5" s="49">
        <f t="shared" ca="1" si="0"/>
        <v>46258</v>
      </c>
      <c r="AA5" s="49">
        <f t="shared" ca="1" si="0"/>
        <v>46265</v>
      </c>
      <c r="AB5" s="49">
        <f t="shared" ca="1" si="0"/>
        <v>46272</v>
      </c>
      <c r="AC5" s="49">
        <f t="shared" ca="1" si="0"/>
        <v>46279</v>
      </c>
      <c r="AD5" s="49">
        <f t="shared" ca="1" si="0"/>
        <v>46286</v>
      </c>
      <c r="AE5" s="49">
        <f t="shared" ca="1" si="0"/>
        <v>46293</v>
      </c>
      <c r="AF5" s="49">
        <f t="shared" ca="1" si="0"/>
        <v>46300</v>
      </c>
      <c r="AG5" s="49">
        <f t="shared" ca="1" si="0"/>
        <v>46307</v>
      </c>
      <c r="AH5" s="49">
        <f t="shared" ca="1" si="0"/>
        <v>46314</v>
      </c>
      <c r="AI5" s="49">
        <f t="shared" ca="1" si="0"/>
        <v>46321</v>
      </c>
      <c r="AJ5" s="49">
        <f t="shared" ca="1" si="0"/>
        <v>46328</v>
      </c>
      <c r="AK5" s="49">
        <f t="shared" ca="1" si="0"/>
        <v>46335</v>
      </c>
      <c r="AL5" s="49">
        <f t="shared" ca="1" si="0"/>
        <v>46342</v>
      </c>
      <c r="AM5" s="49">
        <f t="shared" ca="1" si="0"/>
        <v>46349</v>
      </c>
      <c r="AN5" s="49">
        <f t="shared" ca="1" si="0"/>
        <v>46356</v>
      </c>
      <c r="AO5" s="49">
        <f t="shared" ca="1" si="0"/>
        <v>46363</v>
      </c>
      <c r="AP5" s="49">
        <f t="shared" ca="1" si="0"/>
        <v>46370</v>
      </c>
      <c r="AQ5" s="49">
        <f t="shared" ca="1" si="0"/>
        <v>46377</v>
      </c>
      <c r="AR5" s="50">
        <f t="shared" ca="1" si="0"/>
        <v>46384</v>
      </c>
    </row>
    <row r="6" spans="2:44" ht="17.25" thickBot="1" x14ac:dyDescent="0.3">
      <c r="B6" s="40" t="s">
        <v>3</v>
      </c>
      <c r="C6" s="41" t="s">
        <v>4</v>
      </c>
      <c r="D6" s="42" t="s">
        <v>5</v>
      </c>
      <c r="E6" s="42" t="s">
        <v>6</v>
      </c>
      <c r="F6" s="43" t="s">
        <v>7</v>
      </c>
      <c r="G6" s="43" t="s">
        <v>8</v>
      </c>
      <c r="H6" s="43" t="s">
        <v>9</v>
      </c>
      <c r="I6" s="44" t="s">
        <v>10</v>
      </c>
      <c r="J6" s="45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7"/>
    </row>
    <row r="7" spans="2:44" ht="19.5" x14ac:dyDescent="0.25">
      <c r="B7" s="32">
        <v>1</v>
      </c>
      <c r="C7" s="6" t="s">
        <v>16</v>
      </c>
      <c r="D7" s="9" t="s">
        <v>17</v>
      </c>
      <c r="E7" s="12">
        <v>46146</v>
      </c>
      <c r="F7" s="13">
        <v>46171</v>
      </c>
      <c r="G7" s="18">
        <f>IF(OR(E7="",F7=""),"", NETWORKDAYS(E7, F7))</f>
        <v>20</v>
      </c>
      <c r="H7" s="21" t="s">
        <v>13</v>
      </c>
      <c r="I7" s="79">
        <v>1</v>
      </c>
      <c r="J7" s="52" t="str">
        <f ca="1">IF(J$5=($F7-WEEKDAY($F7,2)+1),"u","")</f>
        <v/>
      </c>
      <c r="K7" s="53" t="str">
        <f t="shared" ref="K7:AR14" ca="1" si="1">IF(K$5=($F7-WEEKDAY($F7,2)+1),"u","")</f>
        <v/>
      </c>
      <c r="L7" s="53" t="str">
        <f t="shared" ca="1" si="1"/>
        <v/>
      </c>
      <c r="M7" s="53" t="str">
        <f t="shared" ca="1" si="1"/>
        <v>u</v>
      </c>
      <c r="N7" s="53" t="str">
        <f t="shared" ca="1" si="1"/>
        <v/>
      </c>
      <c r="O7" s="53" t="str">
        <f t="shared" ca="1" si="1"/>
        <v/>
      </c>
      <c r="P7" s="53" t="str">
        <f t="shared" ca="1" si="1"/>
        <v/>
      </c>
      <c r="Q7" s="53" t="str">
        <f t="shared" ca="1" si="1"/>
        <v/>
      </c>
      <c r="R7" s="53" t="str">
        <f t="shared" ca="1" si="1"/>
        <v/>
      </c>
      <c r="S7" s="53" t="str">
        <f t="shared" ca="1" si="1"/>
        <v/>
      </c>
      <c r="T7" s="53" t="str">
        <f t="shared" ca="1" si="1"/>
        <v/>
      </c>
      <c r="U7" s="53" t="str">
        <f t="shared" ca="1" si="1"/>
        <v/>
      </c>
      <c r="V7" s="53" t="str">
        <f t="shared" ca="1" si="1"/>
        <v/>
      </c>
      <c r="W7" s="53" t="str">
        <f t="shared" ca="1" si="1"/>
        <v/>
      </c>
      <c r="X7" s="53" t="str">
        <f t="shared" ca="1" si="1"/>
        <v/>
      </c>
      <c r="Y7" s="53" t="str">
        <f t="shared" ca="1" si="1"/>
        <v/>
      </c>
      <c r="Z7" s="53" t="str">
        <f t="shared" ca="1" si="1"/>
        <v/>
      </c>
      <c r="AA7" s="53" t="str">
        <f t="shared" ca="1" si="1"/>
        <v/>
      </c>
      <c r="AB7" s="53" t="str">
        <f t="shared" ca="1" si="1"/>
        <v/>
      </c>
      <c r="AC7" s="53" t="str">
        <f t="shared" ca="1" si="1"/>
        <v/>
      </c>
      <c r="AD7" s="53" t="str">
        <f t="shared" ca="1" si="1"/>
        <v/>
      </c>
      <c r="AE7" s="53" t="str">
        <f t="shared" ca="1" si="1"/>
        <v/>
      </c>
      <c r="AF7" s="53" t="str">
        <f t="shared" ca="1" si="1"/>
        <v/>
      </c>
      <c r="AG7" s="53" t="str">
        <f t="shared" ca="1" si="1"/>
        <v/>
      </c>
      <c r="AH7" s="53" t="str">
        <f t="shared" ca="1" si="1"/>
        <v/>
      </c>
      <c r="AI7" s="53" t="str">
        <f t="shared" ca="1" si="1"/>
        <v/>
      </c>
      <c r="AJ7" s="53" t="str">
        <f t="shared" ca="1" si="1"/>
        <v/>
      </c>
      <c r="AK7" s="53" t="str">
        <f t="shared" ca="1" si="1"/>
        <v/>
      </c>
      <c r="AL7" s="53" t="str">
        <f t="shared" ca="1" si="1"/>
        <v/>
      </c>
      <c r="AM7" s="53" t="str">
        <f t="shared" ca="1" si="1"/>
        <v/>
      </c>
      <c r="AN7" s="53" t="str">
        <f t="shared" ca="1" si="1"/>
        <v/>
      </c>
      <c r="AO7" s="53" t="str">
        <f t="shared" ca="1" si="1"/>
        <v/>
      </c>
      <c r="AP7" s="53" t="str">
        <f t="shared" ca="1" si="1"/>
        <v/>
      </c>
      <c r="AQ7" s="53" t="str">
        <f t="shared" ca="1" si="1"/>
        <v/>
      </c>
      <c r="AR7" s="54" t="str">
        <f t="shared" ca="1" si="1"/>
        <v/>
      </c>
    </row>
    <row r="8" spans="2:44" ht="19.5" x14ac:dyDescent="0.25">
      <c r="B8" s="33">
        <v>2</v>
      </c>
      <c r="C8" s="7" t="s">
        <v>18</v>
      </c>
      <c r="D8" s="10" t="s">
        <v>19</v>
      </c>
      <c r="E8" s="14">
        <v>46174</v>
      </c>
      <c r="F8" s="15">
        <v>46199</v>
      </c>
      <c r="G8" s="19">
        <f t="shared" ref="G8:G13" si="2">IF(OR(E8="",F8=""),"", NETWORKDAYS(E8, F8))</f>
        <v>20</v>
      </c>
      <c r="H8" s="22" t="s">
        <v>13</v>
      </c>
      <c r="I8" s="80">
        <v>1</v>
      </c>
      <c r="J8" s="52" t="str">
        <f t="shared" ref="J8:Y16" ca="1" si="3">IF(J$5=($F8-WEEKDAY($F8,2)+1),"u","")</f>
        <v/>
      </c>
      <c r="K8" s="53" t="str">
        <f t="shared" ca="1" si="3"/>
        <v/>
      </c>
      <c r="L8" s="53" t="str">
        <f t="shared" ca="1" si="3"/>
        <v/>
      </c>
      <c r="M8" s="53" t="str">
        <f t="shared" ca="1" si="3"/>
        <v/>
      </c>
      <c r="N8" s="53" t="str">
        <f t="shared" ca="1" si="3"/>
        <v/>
      </c>
      <c r="O8" s="53" t="str">
        <f t="shared" ca="1" si="3"/>
        <v/>
      </c>
      <c r="P8" s="53" t="str">
        <f t="shared" ca="1" si="3"/>
        <v/>
      </c>
      <c r="Q8" s="53" t="str">
        <f t="shared" ca="1" si="3"/>
        <v>u</v>
      </c>
      <c r="R8" s="53" t="str">
        <f t="shared" ca="1" si="3"/>
        <v/>
      </c>
      <c r="S8" s="53" t="str">
        <f t="shared" ca="1" si="3"/>
        <v/>
      </c>
      <c r="T8" s="53" t="str">
        <f t="shared" ca="1" si="3"/>
        <v/>
      </c>
      <c r="U8" s="53" t="str">
        <f t="shared" ca="1" si="3"/>
        <v/>
      </c>
      <c r="V8" s="53" t="str">
        <f t="shared" ca="1" si="3"/>
        <v/>
      </c>
      <c r="W8" s="53" t="str">
        <f t="shared" ca="1" si="3"/>
        <v/>
      </c>
      <c r="X8" s="53" t="str">
        <f t="shared" ca="1" si="3"/>
        <v/>
      </c>
      <c r="Y8" s="53" t="str">
        <f t="shared" ca="1" si="3"/>
        <v/>
      </c>
      <c r="Z8" s="53" t="str">
        <f t="shared" ca="1" si="1"/>
        <v/>
      </c>
      <c r="AA8" s="53" t="str">
        <f t="shared" ca="1" si="1"/>
        <v/>
      </c>
      <c r="AB8" s="53" t="str">
        <f t="shared" ca="1" si="1"/>
        <v/>
      </c>
      <c r="AC8" s="53" t="str">
        <f t="shared" ca="1" si="1"/>
        <v/>
      </c>
      <c r="AD8" s="53" t="str">
        <f t="shared" ca="1" si="1"/>
        <v/>
      </c>
      <c r="AE8" s="53" t="str">
        <f t="shared" ca="1" si="1"/>
        <v/>
      </c>
      <c r="AF8" s="53" t="str">
        <f t="shared" ca="1" si="1"/>
        <v/>
      </c>
      <c r="AG8" s="53" t="str">
        <f t="shared" ca="1" si="1"/>
        <v/>
      </c>
      <c r="AH8" s="53" t="str">
        <f t="shared" ca="1" si="1"/>
        <v/>
      </c>
      <c r="AI8" s="53" t="str">
        <f t="shared" ca="1" si="1"/>
        <v/>
      </c>
      <c r="AJ8" s="53" t="str">
        <f t="shared" ca="1" si="1"/>
        <v/>
      </c>
      <c r="AK8" s="53" t="str">
        <f t="shared" ca="1" si="1"/>
        <v/>
      </c>
      <c r="AL8" s="53" t="str">
        <f t="shared" ca="1" si="1"/>
        <v/>
      </c>
      <c r="AM8" s="53" t="str">
        <f t="shared" ca="1" si="1"/>
        <v/>
      </c>
      <c r="AN8" s="53" t="str">
        <f t="shared" ca="1" si="1"/>
        <v/>
      </c>
      <c r="AO8" s="53" t="str">
        <f t="shared" ca="1" si="1"/>
        <v/>
      </c>
      <c r="AP8" s="53" t="str">
        <f t="shared" ca="1" si="1"/>
        <v/>
      </c>
      <c r="AQ8" s="53" t="str">
        <f t="shared" ca="1" si="1"/>
        <v/>
      </c>
      <c r="AR8" s="55" t="str">
        <f t="shared" ca="1" si="1"/>
        <v/>
      </c>
    </row>
    <row r="9" spans="2:44" ht="19.5" x14ac:dyDescent="0.25">
      <c r="B9" s="34">
        <v>3</v>
      </c>
      <c r="C9" s="8" t="s">
        <v>20</v>
      </c>
      <c r="D9" s="11" t="s">
        <v>21</v>
      </c>
      <c r="E9" s="16">
        <v>46202</v>
      </c>
      <c r="F9" s="17">
        <v>46227</v>
      </c>
      <c r="G9" s="20">
        <f t="shared" si="2"/>
        <v>20</v>
      </c>
      <c r="H9" s="22" t="s">
        <v>13</v>
      </c>
      <c r="I9" s="80">
        <v>1</v>
      </c>
      <c r="J9" s="52" t="str">
        <f t="shared" ca="1" si="3"/>
        <v/>
      </c>
      <c r="K9" s="53" t="str">
        <f t="shared" ca="1" si="1"/>
        <v/>
      </c>
      <c r="L9" s="53" t="str">
        <f t="shared" ca="1" si="1"/>
        <v/>
      </c>
      <c r="M9" s="53" t="str">
        <f t="shared" ca="1" si="1"/>
        <v/>
      </c>
      <c r="N9" s="53" t="str">
        <f t="shared" ca="1" si="1"/>
        <v/>
      </c>
      <c r="O9" s="53" t="str">
        <f t="shared" ca="1" si="1"/>
        <v/>
      </c>
      <c r="P9" s="53" t="str">
        <f t="shared" ca="1" si="1"/>
        <v/>
      </c>
      <c r="Q9" s="53" t="str">
        <f t="shared" ca="1" si="1"/>
        <v/>
      </c>
      <c r="R9" s="53" t="str">
        <f t="shared" ca="1" si="1"/>
        <v/>
      </c>
      <c r="S9" s="53" t="str">
        <f t="shared" ca="1" si="1"/>
        <v/>
      </c>
      <c r="T9" s="53" t="str">
        <f t="shared" ca="1" si="1"/>
        <v/>
      </c>
      <c r="U9" s="53" t="str">
        <f t="shared" ca="1" si="1"/>
        <v>u</v>
      </c>
      <c r="V9" s="53" t="str">
        <f t="shared" ca="1" si="1"/>
        <v/>
      </c>
      <c r="W9" s="53" t="str">
        <f t="shared" ca="1" si="1"/>
        <v/>
      </c>
      <c r="X9" s="53" t="str">
        <f t="shared" ca="1" si="1"/>
        <v/>
      </c>
      <c r="Y9" s="53" t="str">
        <f t="shared" ca="1" si="1"/>
        <v/>
      </c>
      <c r="Z9" s="53" t="str">
        <f t="shared" ca="1" si="1"/>
        <v/>
      </c>
      <c r="AA9" s="53" t="str">
        <f t="shared" ca="1" si="1"/>
        <v/>
      </c>
      <c r="AB9" s="53" t="str">
        <f t="shared" ca="1" si="1"/>
        <v/>
      </c>
      <c r="AC9" s="53" t="str">
        <f t="shared" ca="1" si="1"/>
        <v/>
      </c>
      <c r="AD9" s="53" t="str">
        <f t="shared" ca="1" si="1"/>
        <v/>
      </c>
      <c r="AE9" s="53" t="str">
        <f t="shared" ca="1" si="1"/>
        <v/>
      </c>
      <c r="AF9" s="53" t="str">
        <f t="shared" ca="1" si="1"/>
        <v/>
      </c>
      <c r="AG9" s="53" t="str">
        <f t="shared" ca="1" si="1"/>
        <v/>
      </c>
      <c r="AH9" s="53" t="str">
        <f t="shared" ca="1" si="1"/>
        <v/>
      </c>
      <c r="AI9" s="53" t="str">
        <f t="shared" ca="1" si="1"/>
        <v/>
      </c>
      <c r="AJ9" s="53" t="str">
        <f t="shared" ca="1" si="1"/>
        <v/>
      </c>
      <c r="AK9" s="53" t="str">
        <f t="shared" ca="1" si="1"/>
        <v/>
      </c>
      <c r="AL9" s="53" t="str">
        <f t="shared" ca="1" si="1"/>
        <v/>
      </c>
      <c r="AM9" s="53" t="str">
        <f t="shared" ca="1" si="1"/>
        <v/>
      </c>
      <c r="AN9" s="53" t="str">
        <f t="shared" ca="1" si="1"/>
        <v/>
      </c>
      <c r="AO9" s="53" t="str">
        <f t="shared" ca="1" si="1"/>
        <v/>
      </c>
      <c r="AP9" s="53" t="str">
        <f t="shared" ca="1" si="1"/>
        <v/>
      </c>
      <c r="AQ9" s="53" t="str">
        <f t="shared" ca="1" si="1"/>
        <v/>
      </c>
      <c r="AR9" s="55" t="str">
        <f t="shared" ca="1" si="1"/>
        <v/>
      </c>
    </row>
    <row r="10" spans="2:44" ht="19.5" x14ac:dyDescent="0.25">
      <c r="B10" s="33">
        <v>4</v>
      </c>
      <c r="C10" s="7" t="s">
        <v>22</v>
      </c>
      <c r="D10" s="10" t="s">
        <v>23</v>
      </c>
      <c r="E10" s="14">
        <v>46230</v>
      </c>
      <c r="F10" s="15">
        <v>46262</v>
      </c>
      <c r="G10" s="19">
        <f t="shared" si="2"/>
        <v>25</v>
      </c>
      <c r="H10" s="23" t="s">
        <v>14</v>
      </c>
      <c r="I10" s="81">
        <v>0.2</v>
      </c>
      <c r="J10" s="56" t="str">
        <f t="shared" ca="1" si="3"/>
        <v/>
      </c>
      <c r="K10" s="57" t="str">
        <f t="shared" ca="1" si="1"/>
        <v/>
      </c>
      <c r="L10" s="57" t="str">
        <f t="shared" ca="1" si="1"/>
        <v/>
      </c>
      <c r="M10" s="57" t="str">
        <f t="shared" ca="1" si="1"/>
        <v/>
      </c>
      <c r="N10" s="57" t="str">
        <f t="shared" ca="1" si="1"/>
        <v/>
      </c>
      <c r="O10" s="57" t="str">
        <f t="shared" ca="1" si="1"/>
        <v/>
      </c>
      <c r="P10" s="57" t="str">
        <f t="shared" ca="1" si="1"/>
        <v/>
      </c>
      <c r="Q10" s="57" t="str">
        <f t="shared" ca="1" si="1"/>
        <v/>
      </c>
      <c r="R10" s="57" t="str">
        <f t="shared" ca="1" si="1"/>
        <v/>
      </c>
      <c r="S10" s="57" t="str">
        <f t="shared" ca="1" si="1"/>
        <v/>
      </c>
      <c r="T10" s="57" t="str">
        <f t="shared" ca="1" si="1"/>
        <v/>
      </c>
      <c r="U10" s="57" t="str">
        <f t="shared" ca="1" si="1"/>
        <v/>
      </c>
      <c r="V10" s="57" t="str">
        <f t="shared" ca="1" si="1"/>
        <v/>
      </c>
      <c r="W10" s="57" t="str">
        <f t="shared" ca="1" si="1"/>
        <v/>
      </c>
      <c r="X10" s="57" t="str">
        <f t="shared" ca="1" si="1"/>
        <v/>
      </c>
      <c r="Y10" s="57" t="str">
        <f t="shared" ca="1" si="1"/>
        <v/>
      </c>
      <c r="Z10" s="57" t="str">
        <f t="shared" ca="1" si="1"/>
        <v>u</v>
      </c>
      <c r="AA10" s="57" t="str">
        <f t="shared" ca="1" si="1"/>
        <v/>
      </c>
      <c r="AB10" s="57" t="str">
        <f t="shared" ca="1" si="1"/>
        <v/>
      </c>
      <c r="AC10" s="57" t="str">
        <f t="shared" ca="1" si="1"/>
        <v/>
      </c>
      <c r="AD10" s="57" t="str">
        <f t="shared" ca="1" si="1"/>
        <v/>
      </c>
      <c r="AE10" s="57" t="str">
        <f t="shared" ca="1" si="1"/>
        <v/>
      </c>
      <c r="AF10" s="57" t="str">
        <f t="shared" ca="1" si="1"/>
        <v/>
      </c>
      <c r="AG10" s="57" t="str">
        <f t="shared" ca="1" si="1"/>
        <v/>
      </c>
      <c r="AH10" s="57" t="str">
        <f t="shared" ca="1" si="1"/>
        <v/>
      </c>
      <c r="AI10" s="57" t="str">
        <f t="shared" ca="1" si="1"/>
        <v/>
      </c>
      <c r="AJ10" s="57" t="str">
        <f t="shared" ca="1" si="1"/>
        <v/>
      </c>
      <c r="AK10" s="57" t="str">
        <f t="shared" ca="1" si="1"/>
        <v/>
      </c>
      <c r="AL10" s="57" t="str">
        <f t="shared" ca="1" si="1"/>
        <v/>
      </c>
      <c r="AM10" s="57" t="str">
        <f t="shared" ca="1" si="1"/>
        <v/>
      </c>
      <c r="AN10" s="57" t="str">
        <f t="shared" ca="1" si="1"/>
        <v/>
      </c>
      <c r="AO10" s="57" t="str">
        <f t="shared" ca="1" si="1"/>
        <v/>
      </c>
      <c r="AP10" s="57" t="str">
        <f t="shared" ca="1" si="1"/>
        <v/>
      </c>
      <c r="AQ10" s="57" t="str">
        <f t="shared" ca="1" si="1"/>
        <v/>
      </c>
      <c r="AR10" s="58" t="str">
        <f t="shared" ca="1" si="1"/>
        <v/>
      </c>
    </row>
    <row r="11" spans="2:44" ht="19.5" x14ac:dyDescent="0.25">
      <c r="B11" s="34">
        <v>5</v>
      </c>
      <c r="C11" s="8" t="s">
        <v>24</v>
      </c>
      <c r="D11" s="11" t="s">
        <v>25</v>
      </c>
      <c r="E11" s="16">
        <v>46265</v>
      </c>
      <c r="F11" s="17">
        <v>46297</v>
      </c>
      <c r="G11" s="20">
        <f t="shared" si="2"/>
        <v>25</v>
      </c>
      <c r="H11" s="24" t="s">
        <v>12</v>
      </c>
      <c r="I11" s="82">
        <v>0.4</v>
      </c>
      <c r="J11" s="59" t="str">
        <f t="shared" ca="1" si="3"/>
        <v/>
      </c>
      <c r="K11" s="60" t="str">
        <f t="shared" ca="1" si="1"/>
        <v/>
      </c>
      <c r="L11" s="60" t="str">
        <f t="shared" ca="1" si="1"/>
        <v/>
      </c>
      <c r="M11" s="60" t="str">
        <f t="shared" ca="1" si="1"/>
        <v/>
      </c>
      <c r="N11" s="60" t="str">
        <f t="shared" ca="1" si="1"/>
        <v/>
      </c>
      <c r="O11" s="60" t="str">
        <f t="shared" ca="1" si="1"/>
        <v/>
      </c>
      <c r="P11" s="60" t="str">
        <f t="shared" ca="1" si="1"/>
        <v/>
      </c>
      <c r="Q11" s="60" t="str">
        <f t="shared" ca="1" si="1"/>
        <v/>
      </c>
      <c r="R11" s="60" t="str">
        <f t="shared" ca="1" si="1"/>
        <v/>
      </c>
      <c r="S11" s="60" t="str">
        <f t="shared" ca="1" si="1"/>
        <v/>
      </c>
      <c r="T11" s="60" t="str">
        <f t="shared" ca="1" si="1"/>
        <v/>
      </c>
      <c r="U11" s="60" t="str">
        <f t="shared" ca="1" si="1"/>
        <v/>
      </c>
      <c r="V11" s="60" t="str">
        <f t="shared" ca="1" si="1"/>
        <v/>
      </c>
      <c r="W11" s="60" t="str">
        <f t="shared" ca="1" si="1"/>
        <v/>
      </c>
      <c r="X11" s="60" t="str">
        <f t="shared" ca="1" si="1"/>
        <v/>
      </c>
      <c r="Y11" s="60" t="str">
        <f t="shared" ca="1" si="1"/>
        <v/>
      </c>
      <c r="Z11" s="60" t="str">
        <f t="shared" ca="1" si="1"/>
        <v/>
      </c>
      <c r="AA11" s="60" t="str">
        <f t="shared" ca="1" si="1"/>
        <v/>
      </c>
      <c r="AB11" s="60" t="str">
        <f t="shared" ca="1" si="1"/>
        <v/>
      </c>
      <c r="AC11" s="60" t="str">
        <f t="shared" ca="1" si="1"/>
        <v/>
      </c>
      <c r="AD11" s="60" t="str">
        <f t="shared" ca="1" si="1"/>
        <v/>
      </c>
      <c r="AE11" s="60" t="str">
        <f t="shared" ca="1" si="1"/>
        <v>u</v>
      </c>
      <c r="AF11" s="60" t="str">
        <f t="shared" ca="1" si="1"/>
        <v/>
      </c>
      <c r="AG11" s="60" t="str">
        <f t="shared" ca="1" si="1"/>
        <v/>
      </c>
      <c r="AH11" s="60" t="str">
        <f t="shared" ca="1" si="1"/>
        <v/>
      </c>
      <c r="AI11" s="60" t="str">
        <f t="shared" ca="1" si="1"/>
        <v/>
      </c>
      <c r="AJ11" s="60" t="str">
        <f t="shared" ca="1" si="1"/>
        <v/>
      </c>
      <c r="AK11" s="60" t="str">
        <f t="shared" ca="1" si="1"/>
        <v/>
      </c>
      <c r="AL11" s="60" t="str">
        <f t="shared" ca="1" si="1"/>
        <v/>
      </c>
      <c r="AM11" s="60" t="str">
        <f t="shared" ca="1" si="1"/>
        <v/>
      </c>
      <c r="AN11" s="60" t="str">
        <f t="shared" ca="1" si="1"/>
        <v/>
      </c>
      <c r="AO11" s="60" t="str">
        <f t="shared" ca="1" si="1"/>
        <v/>
      </c>
      <c r="AP11" s="60" t="str">
        <f t="shared" ca="1" si="1"/>
        <v/>
      </c>
      <c r="AQ11" s="60" t="str">
        <f t="shared" ca="1" si="1"/>
        <v/>
      </c>
      <c r="AR11" s="61" t="str">
        <f t="shared" ca="1" si="1"/>
        <v/>
      </c>
    </row>
    <row r="12" spans="2:44" ht="19.5" x14ac:dyDescent="0.25">
      <c r="B12" s="33">
        <v>6</v>
      </c>
      <c r="C12" s="7" t="s">
        <v>26</v>
      </c>
      <c r="D12" s="10" t="s">
        <v>27</v>
      </c>
      <c r="E12" s="14">
        <v>46300</v>
      </c>
      <c r="F12" s="15">
        <v>46332</v>
      </c>
      <c r="G12" s="19">
        <f t="shared" si="2"/>
        <v>25</v>
      </c>
      <c r="H12" s="24" t="s">
        <v>12</v>
      </c>
      <c r="I12" s="82">
        <v>0.3</v>
      </c>
      <c r="J12" s="59" t="str">
        <f t="shared" ca="1" si="3"/>
        <v/>
      </c>
      <c r="K12" s="60" t="str">
        <f t="shared" ca="1" si="1"/>
        <v/>
      </c>
      <c r="L12" s="60" t="str">
        <f t="shared" ca="1" si="1"/>
        <v/>
      </c>
      <c r="M12" s="60" t="str">
        <f t="shared" ca="1" si="1"/>
        <v/>
      </c>
      <c r="N12" s="60" t="str">
        <f t="shared" ca="1" si="1"/>
        <v/>
      </c>
      <c r="O12" s="60" t="str">
        <f t="shared" ca="1" si="1"/>
        <v/>
      </c>
      <c r="P12" s="60" t="str">
        <f t="shared" ca="1" si="1"/>
        <v/>
      </c>
      <c r="Q12" s="60" t="str">
        <f t="shared" ca="1" si="1"/>
        <v/>
      </c>
      <c r="R12" s="60" t="str">
        <f t="shared" ca="1" si="1"/>
        <v/>
      </c>
      <c r="S12" s="60" t="str">
        <f t="shared" ca="1" si="1"/>
        <v/>
      </c>
      <c r="T12" s="60" t="str">
        <f t="shared" ca="1" si="1"/>
        <v/>
      </c>
      <c r="U12" s="60" t="str">
        <f t="shared" ca="1" si="1"/>
        <v/>
      </c>
      <c r="V12" s="60" t="str">
        <f t="shared" ca="1" si="1"/>
        <v/>
      </c>
      <c r="W12" s="60" t="str">
        <f t="shared" ca="1" si="1"/>
        <v/>
      </c>
      <c r="X12" s="60" t="str">
        <f t="shared" ca="1" si="1"/>
        <v/>
      </c>
      <c r="Y12" s="60" t="str">
        <f t="shared" ca="1" si="1"/>
        <v/>
      </c>
      <c r="Z12" s="60" t="str">
        <f t="shared" ca="1" si="1"/>
        <v/>
      </c>
      <c r="AA12" s="60" t="str">
        <f t="shared" ca="1" si="1"/>
        <v/>
      </c>
      <c r="AB12" s="60" t="str">
        <f t="shared" ca="1" si="1"/>
        <v/>
      </c>
      <c r="AC12" s="60" t="str">
        <f t="shared" ca="1" si="1"/>
        <v/>
      </c>
      <c r="AD12" s="60" t="str">
        <f t="shared" ca="1" si="1"/>
        <v/>
      </c>
      <c r="AE12" s="60" t="str">
        <f t="shared" ca="1" si="1"/>
        <v/>
      </c>
      <c r="AF12" s="60" t="str">
        <f t="shared" ca="1" si="1"/>
        <v/>
      </c>
      <c r="AG12" s="60" t="str">
        <f t="shared" ca="1" si="1"/>
        <v/>
      </c>
      <c r="AH12" s="60" t="str">
        <f t="shared" ca="1" si="1"/>
        <v/>
      </c>
      <c r="AI12" s="60" t="str">
        <f t="shared" ca="1" si="1"/>
        <v/>
      </c>
      <c r="AJ12" s="60" t="str">
        <f t="shared" ca="1" si="1"/>
        <v>u</v>
      </c>
      <c r="AK12" s="60" t="str">
        <f t="shared" ca="1" si="1"/>
        <v/>
      </c>
      <c r="AL12" s="60" t="str">
        <f t="shared" ca="1" si="1"/>
        <v/>
      </c>
      <c r="AM12" s="60" t="str">
        <f t="shared" ca="1" si="1"/>
        <v/>
      </c>
      <c r="AN12" s="60" t="str">
        <f t="shared" ca="1" si="1"/>
        <v/>
      </c>
      <c r="AO12" s="60" t="str">
        <f t="shared" ca="1" si="1"/>
        <v/>
      </c>
      <c r="AP12" s="60" t="str">
        <f t="shared" ca="1" si="1"/>
        <v/>
      </c>
      <c r="AQ12" s="60" t="str">
        <f t="shared" ca="1" si="1"/>
        <v/>
      </c>
      <c r="AR12" s="61" t="str">
        <f t="shared" ca="1" si="1"/>
        <v/>
      </c>
    </row>
    <row r="13" spans="2:44" ht="19.5" x14ac:dyDescent="0.25">
      <c r="B13" s="34">
        <v>7</v>
      </c>
      <c r="C13" s="8" t="s">
        <v>28</v>
      </c>
      <c r="D13" s="11" t="s">
        <v>29</v>
      </c>
      <c r="E13" s="16">
        <v>46335</v>
      </c>
      <c r="F13" s="17">
        <v>46360</v>
      </c>
      <c r="G13" s="20">
        <f t="shared" si="2"/>
        <v>20</v>
      </c>
      <c r="H13" s="25" t="s">
        <v>11</v>
      </c>
      <c r="I13" s="83">
        <v>0</v>
      </c>
      <c r="J13" s="62" t="str">
        <f t="shared" ca="1" si="3"/>
        <v/>
      </c>
      <c r="K13" s="63" t="str">
        <f t="shared" ca="1" si="1"/>
        <v/>
      </c>
      <c r="L13" s="63" t="str">
        <f t="shared" ca="1" si="1"/>
        <v/>
      </c>
      <c r="M13" s="63" t="str">
        <f t="shared" ca="1" si="1"/>
        <v/>
      </c>
      <c r="N13" s="63" t="str">
        <f t="shared" ca="1" si="1"/>
        <v/>
      </c>
      <c r="O13" s="63" t="str">
        <f t="shared" ca="1" si="1"/>
        <v/>
      </c>
      <c r="P13" s="63" t="str">
        <f t="shared" ca="1" si="1"/>
        <v/>
      </c>
      <c r="Q13" s="63" t="str">
        <f t="shared" ca="1" si="1"/>
        <v/>
      </c>
      <c r="R13" s="63" t="str">
        <f t="shared" ca="1" si="1"/>
        <v/>
      </c>
      <c r="S13" s="63" t="str">
        <f t="shared" ca="1" si="1"/>
        <v/>
      </c>
      <c r="T13" s="63" t="str">
        <f t="shared" ca="1" si="1"/>
        <v/>
      </c>
      <c r="U13" s="63" t="str">
        <f t="shared" ca="1" si="1"/>
        <v/>
      </c>
      <c r="V13" s="63" t="str">
        <f t="shared" ca="1" si="1"/>
        <v/>
      </c>
      <c r="W13" s="63" t="str">
        <f t="shared" ca="1" si="1"/>
        <v/>
      </c>
      <c r="X13" s="63" t="str">
        <f t="shared" ca="1" si="1"/>
        <v/>
      </c>
      <c r="Y13" s="63" t="str">
        <f t="shared" ca="1" si="1"/>
        <v/>
      </c>
      <c r="Z13" s="63" t="str">
        <f t="shared" ca="1" si="1"/>
        <v/>
      </c>
      <c r="AA13" s="63" t="str">
        <f t="shared" ca="1" si="1"/>
        <v/>
      </c>
      <c r="AB13" s="63" t="str">
        <f t="shared" ca="1" si="1"/>
        <v/>
      </c>
      <c r="AC13" s="63" t="str">
        <f t="shared" ca="1" si="1"/>
        <v/>
      </c>
      <c r="AD13" s="63" t="str">
        <f t="shared" ca="1" si="1"/>
        <v/>
      </c>
      <c r="AE13" s="63" t="str">
        <f t="shared" ca="1" si="1"/>
        <v/>
      </c>
      <c r="AF13" s="63" t="str">
        <f t="shared" ca="1" si="1"/>
        <v/>
      </c>
      <c r="AG13" s="63" t="str">
        <f t="shared" ca="1" si="1"/>
        <v/>
      </c>
      <c r="AH13" s="63" t="str">
        <f t="shared" ca="1" si="1"/>
        <v/>
      </c>
      <c r="AI13" s="63" t="str">
        <f t="shared" ca="1" si="1"/>
        <v/>
      </c>
      <c r="AJ13" s="63" t="str">
        <f t="shared" ca="1" si="1"/>
        <v/>
      </c>
      <c r="AK13" s="63" t="str">
        <f t="shared" ca="1" si="1"/>
        <v/>
      </c>
      <c r="AL13" s="63" t="str">
        <f t="shared" ca="1" si="1"/>
        <v/>
      </c>
      <c r="AM13" s="63" t="str">
        <f t="shared" ca="1" si="1"/>
        <v/>
      </c>
      <c r="AN13" s="63" t="str">
        <f t="shared" ca="1" si="1"/>
        <v>u</v>
      </c>
      <c r="AO13" s="63" t="str">
        <f t="shared" ca="1" si="1"/>
        <v/>
      </c>
      <c r="AP13" s="63" t="str">
        <f t="shared" ca="1" si="1"/>
        <v/>
      </c>
      <c r="AQ13" s="63" t="str">
        <f t="shared" ca="1" si="1"/>
        <v/>
      </c>
      <c r="AR13" s="64" t="str">
        <f t="shared" ca="1" si="1"/>
        <v/>
      </c>
    </row>
    <row r="14" spans="2:44" ht="19.5" x14ac:dyDescent="0.25">
      <c r="B14" s="33">
        <v>8</v>
      </c>
      <c r="C14" s="7" t="s">
        <v>30</v>
      </c>
      <c r="D14" s="10" t="s">
        <v>31</v>
      </c>
      <c r="E14" s="14">
        <v>46363</v>
      </c>
      <c r="F14" s="15">
        <v>46374</v>
      </c>
      <c r="G14" s="19">
        <f>IF(OR(E14="",F14=""),"",F14-E14+1)</f>
        <v>12</v>
      </c>
      <c r="H14" s="25" t="s">
        <v>11</v>
      </c>
      <c r="I14" s="84">
        <v>0</v>
      </c>
      <c r="J14" s="62" t="str">
        <f t="shared" ca="1" si="3"/>
        <v/>
      </c>
      <c r="K14" s="63" t="str">
        <f t="shared" ca="1" si="1"/>
        <v/>
      </c>
      <c r="L14" s="63" t="str">
        <f t="shared" ca="1" si="1"/>
        <v/>
      </c>
      <c r="M14" s="63" t="str">
        <f t="shared" ca="1" si="1"/>
        <v/>
      </c>
      <c r="N14" s="63" t="str">
        <f t="shared" ca="1" si="1"/>
        <v/>
      </c>
      <c r="O14" s="63" t="str">
        <f t="shared" ca="1" si="1"/>
        <v/>
      </c>
      <c r="P14" s="63" t="str">
        <f t="shared" ca="1" si="1"/>
        <v/>
      </c>
      <c r="Q14" s="63" t="str">
        <f t="shared" ca="1" si="1"/>
        <v/>
      </c>
      <c r="R14" s="63" t="str">
        <f t="shared" ca="1" si="1"/>
        <v/>
      </c>
      <c r="S14" s="63" t="str">
        <f t="shared" ca="1" si="1"/>
        <v/>
      </c>
      <c r="T14" s="63" t="str">
        <f t="shared" ca="1" si="1"/>
        <v/>
      </c>
      <c r="U14" s="63" t="str">
        <f t="shared" ca="1" si="1"/>
        <v/>
      </c>
      <c r="V14" s="63" t="str">
        <f t="shared" ca="1" si="1"/>
        <v/>
      </c>
      <c r="W14" s="63" t="str">
        <f t="shared" ca="1" si="1"/>
        <v/>
      </c>
      <c r="X14" s="63" t="str">
        <f t="shared" ca="1" si="1"/>
        <v/>
      </c>
      <c r="Y14" s="63" t="str">
        <f t="shared" ca="1" si="1"/>
        <v/>
      </c>
      <c r="Z14" s="63" t="str">
        <f t="shared" ca="1" si="1"/>
        <v/>
      </c>
      <c r="AA14" s="63" t="str">
        <f t="shared" ca="1" si="1"/>
        <v/>
      </c>
      <c r="AB14" s="63" t="str">
        <f t="shared" ca="1" si="1"/>
        <v/>
      </c>
      <c r="AC14" s="63" t="str">
        <f t="shared" ca="1" si="1"/>
        <v/>
      </c>
      <c r="AD14" s="63" t="str">
        <f t="shared" ca="1" si="1"/>
        <v/>
      </c>
      <c r="AE14" s="63" t="str">
        <f t="shared" ca="1" si="1"/>
        <v/>
      </c>
      <c r="AF14" s="63" t="str">
        <f t="shared" ca="1" si="1"/>
        <v/>
      </c>
      <c r="AG14" s="63" t="str">
        <f t="shared" ca="1" si="1"/>
        <v/>
      </c>
      <c r="AH14" s="63" t="str">
        <f t="shared" ca="1" si="1"/>
        <v/>
      </c>
      <c r="AI14" s="63" t="str">
        <f t="shared" ca="1" si="1"/>
        <v/>
      </c>
      <c r="AJ14" s="63" t="str">
        <f t="shared" ca="1" si="1"/>
        <v/>
      </c>
      <c r="AK14" s="63" t="str">
        <f t="shared" ca="1" si="1"/>
        <v/>
      </c>
      <c r="AL14" s="63" t="str">
        <f t="shared" ca="1" si="1"/>
        <v/>
      </c>
      <c r="AM14" s="63" t="str">
        <f t="shared" ca="1" si="1"/>
        <v/>
      </c>
      <c r="AN14" s="63" t="str">
        <f t="shared" ca="1" si="1"/>
        <v/>
      </c>
      <c r="AO14" s="63" t="str">
        <f t="shared" ca="1" si="1"/>
        <v/>
      </c>
      <c r="AP14" s="63" t="str">
        <f t="shared" ca="1" si="1"/>
        <v>u</v>
      </c>
      <c r="AQ14" s="63" t="str">
        <f t="shared" ref="K14:AR16" ca="1" si="4">IF(AQ$5=($F14-WEEKDAY($F14,2)+1),"u","")</f>
        <v/>
      </c>
      <c r="AR14" s="64" t="str">
        <f t="shared" ca="1" si="4"/>
        <v/>
      </c>
    </row>
    <row r="15" spans="2:44" ht="19.5" x14ac:dyDescent="0.25">
      <c r="B15" s="34">
        <v>9</v>
      </c>
      <c r="C15" s="8" t="s">
        <v>32</v>
      </c>
      <c r="D15" s="11" t="s">
        <v>33</v>
      </c>
      <c r="E15" s="16">
        <v>46377</v>
      </c>
      <c r="F15" s="17">
        <v>46381</v>
      </c>
      <c r="G15" s="20">
        <f>IF(OR(E15="",F15=""),"",F15-E15+1)</f>
        <v>5</v>
      </c>
      <c r="H15" s="25" t="s">
        <v>11</v>
      </c>
      <c r="I15" s="84">
        <v>0</v>
      </c>
      <c r="J15" s="62" t="str">
        <f t="shared" ca="1" si="3"/>
        <v/>
      </c>
      <c r="K15" s="63" t="str">
        <f t="shared" ca="1" si="4"/>
        <v/>
      </c>
      <c r="L15" s="63" t="str">
        <f t="shared" ca="1" si="4"/>
        <v/>
      </c>
      <c r="M15" s="63" t="str">
        <f t="shared" ca="1" si="4"/>
        <v/>
      </c>
      <c r="N15" s="63" t="str">
        <f t="shared" ca="1" si="4"/>
        <v/>
      </c>
      <c r="O15" s="63" t="str">
        <f t="shared" ca="1" si="4"/>
        <v/>
      </c>
      <c r="P15" s="63" t="str">
        <f t="shared" ca="1" si="4"/>
        <v/>
      </c>
      <c r="Q15" s="63" t="str">
        <f t="shared" ca="1" si="4"/>
        <v/>
      </c>
      <c r="R15" s="63" t="str">
        <f t="shared" ca="1" si="4"/>
        <v/>
      </c>
      <c r="S15" s="63" t="str">
        <f t="shared" ca="1" si="4"/>
        <v/>
      </c>
      <c r="T15" s="63" t="str">
        <f t="shared" ca="1" si="4"/>
        <v/>
      </c>
      <c r="U15" s="63" t="str">
        <f t="shared" ca="1" si="4"/>
        <v/>
      </c>
      <c r="V15" s="63" t="str">
        <f t="shared" ca="1" si="4"/>
        <v/>
      </c>
      <c r="W15" s="63" t="str">
        <f t="shared" ca="1" si="4"/>
        <v/>
      </c>
      <c r="X15" s="63" t="str">
        <f t="shared" ca="1" si="4"/>
        <v/>
      </c>
      <c r="Y15" s="63" t="str">
        <f t="shared" ca="1" si="4"/>
        <v/>
      </c>
      <c r="Z15" s="63" t="str">
        <f t="shared" ca="1" si="4"/>
        <v/>
      </c>
      <c r="AA15" s="63" t="str">
        <f t="shared" ca="1" si="4"/>
        <v/>
      </c>
      <c r="AB15" s="63" t="str">
        <f t="shared" ca="1" si="4"/>
        <v/>
      </c>
      <c r="AC15" s="63" t="str">
        <f t="shared" ca="1" si="4"/>
        <v/>
      </c>
      <c r="AD15" s="63" t="str">
        <f t="shared" ca="1" si="4"/>
        <v/>
      </c>
      <c r="AE15" s="63" t="str">
        <f t="shared" ca="1" si="4"/>
        <v/>
      </c>
      <c r="AF15" s="63" t="str">
        <f t="shared" ca="1" si="4"/>
        <v/>
      </c>
      <c r="AG15" s="63" t="str">
        <f t="shared" ca="1" si="4"/>
        <v/>
      </c>
      <c r="AH15" s="63" t="str">
        <f t="shared" ca="1" si="4"/>
        <v/>
      </c>
      <c r="AI15" s="63" t="str">
        <f t="shared" ca="1" si="4"/>
        <v/>
      </c>
      <c r="AJ15" s="63" t="str">
        <f t="shared" ca="1" si="4"/>
        <v/>
      </c>
      <c r="AK15" s="63" t="str">
        <f t="shared" ca="1" si="4"/>
        <v/>
      </c>
      <c r="AL15" s="63" t="str">
        <f t="shared" ca="1" si="4"/>
        <v/>
      </c>
      <c r="AM15" s="63" t="str">
        <f t="shared" ca="1" si="4"/>
        <v/>
      </c>
      <c r="AN15" s="63" t="str">
        <f t="shared" ca="1" si="4"/>
        <v/>
      </c>
      <c r="AO15" s="63" t="str">
        <f t="shared" ca="1" si="4"/>
        <v/>
      </c>
      <c r="AP15" s="63" t="str">
        <f t="shared" ca="1" si="4"/>
        <v/>
      </c>
      <c r="AQ15" s="63" t="str">
        <f t="shared" ca="1" si="4"/>
        <v>u</v>
      </c>
      <c r="AR15" s="64" t="str">
        <f t="shared" ca="1" si="4"/>
        <v/>
      </c>
    </row>
    <row r="16" spans="2:44" ht="20.25" thickBot="1" x14ac:dyDescent="0.3">
      <c r="B16" s="35">
        <v>10</v>
      </c>
      <c r="C16" s="26" t="s">
        <v>34</v>
      </c>
      <c r="D16" s="27" t="s">
        <v>35</v>
      </c>
      <c r="E16" s="28">
        <v>46384</v>
      </c>
      <c r="F16" s="29">
        <v>46387</v>
      </c>
      <c r="G16" s="30">
        <f>IF(OR(E16="",F16=""),"",F16-E16+1)</f>
        <v>4</v>
      </c>
      <c r="H16" s="31" t="s">
        <v>11</v>
      </c>
      <c r="I16" s="85">
        <v>0</v>
      </c>
      <c r="J16" s="65" t="str">
        <f t="shared" ca="1" si="3"/>
        <v/>
      </c>
      <c r="K16" s="66" t="str">
        <f t="shared" ca="1" si="4"/>
        <v/>
      </c>
      <c r="L16" s="66" t="str">
        <f t="shared" ca="1" si="4"/>
        <v/>
      </c>
      <c r="M16" s="66" t="str">
        <f t="shared" ca="1" si="4"/>
        <v/>
      </c>
      <c r="N16" s="66" t="str">
        <f t="shared" ca="1" si="4"/>
        <v/>
      </c>
      <c r="O16" s="66" t="str">
        <f t="shared" ca="1" si="4"/>
        <v/>
      </c>
      <c r="P16" s="66" t="str">
        <f t="shared" ca="1" si="4"/>
        <v/>
      </c>
      <c r="Q16" s="66" t="str">
        <f t="shared" ca="1" si="4"/>
        <v/>
      </c>
      <c r="R16" s="66" t="str">
        <f t="shared" ca="1" si="4"/>
        <v/>
      </c>
      <c r="S16" s="66" t="str">
        <f t="shared" ca="1" si="4"/>
        <v/>
      </c>
      <c r="T16" s="66" t="str">
        <f t="shared" ca="1" si="4"/>
        <v/>
      </c>
      <c r="U16" s="66" t="str">
        <f t="shared" ca="1" si="4"/>
        <v/>
      </c>
      <c r="V16" s="66" t="str">
        <f t="shared" ca="1" si="4"/>
        <v/>
      </c>
      <c r="W16" s="66" t="str">
        <f t="shared" ca="1" si="4"/>
        <v/>
      </c>
      <c r="X16" s="66" t="str">
        <f t="shared" ca="1" si="4"/>
        <v/>
      </c>
      <c r="Y16" s="66" t="str">
        <f t="shared" ca="1" si="4"/>
        <v/>
      </c>
      <c r="Z16" s="66" t="str">
        <f t="shared" ca="1" si="4"/>
        <v/>
      </c>
      <c r="AA16" s="66" t="str">
        <f t="shared" ca="1" si="4"/>
        <v/>
      </c>
      <c r="AB16" s="66" t="str">
        <f t="shared" ca="1" si="4"/>
        <v/>
      </c>
      <c r="AC16" s="66" t="str">
        <f t="shared" ca="1" si="4"/>
        <v/>
      </c>
      <c r="AD16" s="66" t="str">
        <f t="shared" ca="1" si="4"/>
        <v/>
      </c>
      <c r="AE16" s="66" t="str">
        <f t="shared" ca="1" si="4"/>
        <v/>
      </c>
      <c r="AF16" s="66" t="str">
        <f t="shared" ca="1" si="4"/>
        <v/>
      </c>
      <c r="AG16" s="66" t="str">
        <f t="shared" ca="1" si="4"/>
        <v/>
      </c>
      <c r="AH16" s="66" t="str">
        <f t="shared" ca="1" si="4"/>
        <v/>
      </c>
      <c r="AI16" s="66" t="str">
        <f t="shared" ca="1" si="4"/>
        <v/>
      </c>
      <c r="AJ16" s="66" t="str">
        <f t="shared" ca="1" si="4"/>
        <v/>
      </c>
      <c r="AK16" s="66" t="str">
        <f t="shared" ca="1" si="4"/>
        <v/>
      </c>
      <c r="AL16" s="66" t="str">
        <f t="shared" ca="1" si="4"/>
        <v/>
      </c>
      <c r="AM16" s="66" t="str">
        <f t="shared" ca="1" si="4"/>
        <v/>
      </c>
      <c r="AN16" s="66" t="str">
        <f t="shared" ca="1" si="4"/>
        <v/>
      </c>
      <c r="AO16" s="66" t="str">
        <f t="shared" ca="1" si="4"/>
        <v/>
      </c>
      <c r="AP16" s="66" t="str">
        <f t="shared" ca="1" si="4"/>
        <v/>
      </c>
      <c r="AQ16" s="66" t="str">
        <f t="shared" ca="1" si="4"/>
        <v/>
      </c>
      <c r="AR16" s="67" t="str">
        <f t="shared" ca="1" si="4"/>
        <v>u</v>
      </c>
    </row>
    <row r="17" spans="2:44" x14ac:dyDescent="0.25">
      <c r="B17" s="68"/>
      <c r="C17" s="68"/>
      <c r="D17" s="68"/>
      <c r="E17" s="68"/>
      <c r="F17" s="68"/>
      <c r="G17" s="68"/>
      <c r="H17" s="68"/>
      <c r="I17" s="68"/>
      <c r="J17" s="51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</row>
    <row r="18" spans="2:44" x14ac:dyDescent="0.25">
      <c r="B18" s="51"/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</row>
    <row r="19" spans="2:44" ht="15.75" x14ac:dyDescent="0.25">
      <c r="B19" s="69"/>
      <c r="C19" s="100" t="s">
        <v>9</v>
      </c>
      <c r="D19" s="70"/>
    </row>
    <row r="20" spans="2:44" x14ac:dyDescent="0.25">
      <c r="B20" s="71"/>
      <c r="C20" s="72" t="s">
        <v>11</v>
      </c>
      <c r="D20" s="73"/>
    </row>
    <row r="21" spans="2:44" x14ac:dyDescent="0.25">
      <c r="B21" s="71"/>
      <c r="C21" s="74" t="s">
        <v>12</v>
      </c>
      <c r="D21" s="73"/>
    </row>
    <row r="22" spans="2:44" x14ac:dyDescent="0.25">
      <c r="B22" s="71"/>
      <c r="C22" s="75" t="s">
        <v>14</v>
      </c>
      <c r="D22" s="73"/>
    </row>
    <row r="23" spans="2:44" x14ac:dyDescent="0.25">
      <c r="B23" s="76"/>
      <c r="C23" s="77" t="s">
        <v>13</v>
      </c>
      <c r="D23" s="78"/>
    </row>
    <row r="24" spans="2:44" ht="15.75" thickBot="1" x14ac:dyDescent="0.3"/>
    <row r="25" spans="2:44" ht="24.95" customHeight="1" x14ac:dyDescent="0.25">
      <c r="B25" s="104" t="s">
        <v>38</v>
      </c>
      <c r="C25" s="102"/>
      <c r="D25" s="102"/>
      <c r="E25" s="102"/>
      <c r="F25" s="102"/>
      <c r="G25" s="102"/>
      <c r="H25" s="102"/>
      <c r="I25" s="107"/>
    </row>
    <row r="26" spans="2:44" ht="90" customHeight="1" x14ac:dyDescent="0.25">
      <c r="B26" s="105" t="s">
        <v>39</v>
      </c>
      <c r="C26" s="101"/>
      <c r="D26" s="101"/>
      <c r="E26" s="101"/>
      <c r="F26" s="101"/>
      <c r="G26" s="101"/>
      <c r="H26" s="101"/>
      <c r="I26" s="108"/>
    </row>
    <row r="27" spans="2:44" x14ac:dyDescent="0.25">
      <c r="B27" s="105"/>
      <c r="C27" s="101"/>
      <c r="D27" s="101"/>
      <c r="E27" s="101"/>
      <c r="F27" s="101"/>
      <c r="G27" s="101"/>
      <c r="H27" s="101"/>
      <c r="I27" s="108"/>
    </row>
    <row r="28" spans="2:44" x14ac:dyDescent="0.25">
      <c r="B28" s="105"/>
      <c r="C28" s="101"/>
      <c r="D28" s="101"/>
      <c r="E28" s="101"/>
      <c r="F28" s="101"/>
      <c r="G28" s="101"/>
      <c r="H28" s="101"/>
      <c r="I28" s="108"/>
    </row>
    <row r="29" spans="2:44" x14ac:dyDescent="0.25">
      <c r="B29" s="105"/>
      <c r="C29" s="101"/>
      <c r="D29" s="101"/>
      <c r="E29" s="101"/>
      <c r="F29" s="101"/>
      <c r="G29" s="101"/>
      <c r="H29" s="101"/>
      <c r="I29" s="108"/>
    </row>
    <row r="30" spans="2:44" ht="15.75" thickBot="1" x14ac:dyDescent="0.3">
      <c r="B30" s="106"/>
      <c r="C30" s="103"/>
      <c r="D30" s="103"/>
      <c r="E30" s="103"/>
      <c r="F30" s="103"/>
      <c r="G30" s="103"/>
      <c r="H30" s="103"/>
      <c r="I30" s="109"/>
    </row>
  </sheetData>
  <mergeCells count="17">
    <mergeCell ref="B25:I25"/>
    <mergeCell ref="B26:I30"/>
    <mergeCell ref="B1:I1"/>
    <mergeCell ref="B2:I2"/>
    <mergeCell ref="B3:I3"/>
    <mergeCell ref="B4:B5"/>
    <mergeCell ref="E4:I4"/>
    <mergeCell ref="J3:AR3"/>
    <mergeCell ref="AF4:AI4"/>
    <mergeCell ref="AJ4:AN4"/>
    <mergeCell ref="AO4:AR4"/>
    <mergeCell ref="D5:G5"/>
    <mergeCell ref="J4:M4"/>
    <mergeCell ref="N4:R4"/>
    <mergeCell ref="S4:V4"/>
    <mergeCell ref="W4:AA4"/>
    <mergeCell ref="AB4:AE4"/>
  </mergeCells>
  <phoneticPr fontId="2" type="noConversion"/>
  <conditionalFormatting sqref="H7:H16">
    <cfRule type="containsText" dxfId="3" priority="9" operator="containsText" text="Blocked">
      <formula>NOT(ISERROR(SEARCH("Blocked",H7)))</formula>
    </cfRule>
  </conditionalFormatting>
  <conditionalFormatting sqref="J7:AR16">
    <cfRule type="expression" dxfId="2" priority="1">
      <formula>AND($I7&gt;0, J$5 &lt;= ($E7+($F7-$E7)*$I7)-WEEKDAY(($E7+($F7-$E7)*$I7),2)+1, J$5 &gt;= $E7 - WEEKDAY($E7, 2)+1)</formula>
    </cfRule>
    <cfRule type="expression" dxfId="1" priority="7">
      <formula>AND(J$5&gt;=$E7-(WEEKDAY($E7, 2)+1),J$5&lt;=$F7)</formula>
    </cfRule>
    <cfRule type="expression" dxfId="0" priority="8">
      <formula>J$5=(TODAY()-WEEKDAY(TODAY(), 2) + 1)</formula>
    </cfRule>
  </conditionalFormatting>
  <dataValidations count="1">
    <dataValidation type="list" allowBlank="1" showInputMessage="1" showErrorMessage="1" sqref="H7:H16" xr:uid="{7FBA0A85-BDAF-4D35-8302-E38C5142968C}">
      <formula1>$C$20:$C$23</formula1>
    </dataValidation>
  </dataValidations>
  <pageMargins left="0.7" right="0.7" top="0.75" bottom="0.75" header="0.3" footer="0.3"/>
  <pageSetup paperSize="0" scale="0" orientation="landscape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Gantt 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Vishvambruth Javagal</dc:creator>
  <cp:lastModifiedBy>Vishvambruth Javagal</cp:lastModifiedBy>
  <dcterms:created xsi:type="dcterms:W3CDTF">2026-05-27T10:52:12Z</dcterms:created>
  <dcterms:modified xsi:type="dcterms:W3CDTF">2026-05-27T16:41:44Z</dcterms:modified>
</cp:coreProperties>
</file>