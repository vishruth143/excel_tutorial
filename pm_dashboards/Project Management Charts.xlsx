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xcel_tutorial\pm_dashboards\"/>
    </mc:Choice>
  </mc:AlternateContent>
  <xr:revisionPtr revIDLastSave="0" documentId="13_ncr:1_{2DF229A9-E7AE-481E-9370-A14F1E0D639E}" xr6:coauthVersionLast="47" xr6:coauthVersionMax="47" xr10:uidLastSave="{00000000-0000-0000-0000-000000000000}"/>
  <bookViews>
    <workbookView xWindow="-110" yWindow="-110" windowWidth="19420" windowHeight="10300" tabRatio="412" xr2:uid="{6ACA091F-59E3-41E7-B925-EA720AB063CF}"/>
  </bookViews>
  <sheets>
    <sheet name="Gantt Chart" sheetId="1" r:id="rId1"/>
    <sheet name="RACI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4" i="1" l="1"/>
  <c r="G15" i="1"/>
  <c r="G16" i="1"/>
  <c r="D4" i="1"/>
  <c r="J5" i="1" s="1"/>
  <c r="J8" i="1" s="1"/>
  <c r="J11" i="1" l="1"/>
  <c r="J15" i="1"/>
  <c r="J13" i="1"/>
  <c r="J10" i="1"/>
  <c r="J9" i="1"/>
  <c r="J14" i="1"/>
  <c r="J12" i="1"/>
  <c r="J16" i="1"/>
  <c r="J7" i="1"/>
  <c r="G7" i="1" l="1"/>
  <c r="G8" i="1" l="1"/>
  <c r="G9" i="1" l="1"/>
  <c r="G10" i="1" l="1"/>
  <c r="G11" i="1" l="1"/>
  <c r="G12" i="1" l="1"/>
  <c r="K5" i="1"/>
  <c r="K7" i="1" l="1"/>
  <c r="K11" i="1"/>
  <c r="K15" i="1"/>
  <c r="K14" i="1"/>
  <c r="K8" i="1"/>
  <c r="K12" i="1"/>
  <c r="K16" i="1"/>
  <c r="K9" i="1"/>
  <c r="K13" i="1"/>
  <c r="K10" i="1"/>
  <c r="G13" i="1"/>
  <c r="J4" i="1"/>
  <c r="L5" i="1"/>
  <c r="J3" i="1"/>
  <c r="L7" i="1" l="1"/>
  <c r="L11" i="1"/>
  <c r="L15" i="1"/>
  <c r="L8" i="1"/>
  <c r="L12" i="1"/>
  <c r="L16" i="1"/>
  <c r="L9" i="1"/>
  <c r="L13" i="1"/>
  <c r="L10" i="1"/>
  <c r="L14" i="1"/>
  <c r="M5" i="1"/>
  <c r="M10" i="1" l="1"/>
  <c r="M14" i="1"/>
  <c r="M7" i="1"/>
  <c r="M11" i="1"/>
  <c r="M15" i="1"/>
  <c r="M8" i="1"/>
  <c r="M12" i="1"/>
  <c r="M16" i="1"/>
  <c r="M13" i="1"/>
  <c r="M9" i="1"/>
  <c r="N5" i="1"/>
  <c r="N10" i="1" l="1"/>
  <c r="N14" i="1"/>
  <c r="N7" i="1"/>
  <c r="N11" i="1"/>
  <c r="N15" i="1"/>
  <c r="N16" i="1"/>
  <c r="N8" i="1"/>
  <c r="N12" i="1"/>
  <c r="N9" i="1"/>
  <c r="N13" i="1"/>
  <c r="O5" i="1"/>
  <c r="O9" i="1" l="1"/>
  <c r="O13" i="1"/>
  <c r="O16" i="1"/>
  <c r="O10" i="1"/>
  <c r="O14" i="1"/>
  <c r="O12" i="1"/>
  <c r="O7" i="1"/>
  <c r="O11" i="1"/>
  <c r="O15" i="1"/>
  <c r="O8" i="1"/>
  <c r="N4" i="1"/>
  <c r="P5" i="1"/>
  <c r="P9" i="1" l="1"/>
  <c r="P13" i="1"/>
  <c r="P10" i="1"/>
  <c r="P14" i="1"/>
  <c r="P7" i="1"/>
  <c r="P11" i="1"/>
  <c r="P15" i="1"/>
  <c r="P8" i="1"/>
  <c r="P12" i="1"/>
  <c r="P16" i="1"/>
  <c r="Q5" i="1"/>
  <c r="Q8" i="1" l="1"/>
  <c r="Q12" i="1"/>
  <c r="Q16" i="1"/>
  <c r="Q7" i="1"/>
  <c r="Q11" i="1"/>
  <c r="Q9" i="1"/>
  <c r="Q13" i="1"/>
  <c r="Q15" i="1"/>
  <c r="Q10" i="1"/>
  <c r="Q14" i="1"/>
  <c r="R5" i="1"/>
  <c r="R8" i="1" l="1"/>
  <c r="R12" i="1"/>
  <c r="R16" i="1"/>
  <c r="R9" i="1"/>
  <c r="R13" i="1"/>
  <c r="R10" i="1"/>
  <c r="R14" i="1"/>
  <c r="R7" i="1"/>
  <c r="R11" i="1"/>
  <c r="R15" i="1"/>
  <c r="S5" i="1"/>
  <c r="S7" i="1" l="1"/>
  <c r="S11" i="1"/>
  <c r="S15" i="1"/>
  <c r="S14" i="1"/>
  <c r="S8" i="1"/>
  <c r="S12" i="1"/>
  <c r="S16" i="1"/>
  <c r="S10" i="1"/>
  <c r="S9" i="1"/>
  <c r="S13" i="1"/>
  <c r="T5" i="1"/>
  <c r="T7" i="1" l="1"/>
  <c r="T11" i="1"/>
  <c r="T15" i="1"/>
  <c r="T8" i="1"/>
  <c r="T12" i="1"/>
  <c r="T16" i="1"/>
  <c r="T9" i="1"/>
  <c r="T13" i="1"/>
  <c r="T10" i="1"/>
  <c r="T14" i="1"/>
  <c r="S4" i="1"/>
  <c r="U5" i="1"/>
  <c r="U10" i="1" l="1"/>
  <c r="U14" i="1"/>
  <c r="U7" i="1"/>
  <c r="U11" i="1"/>
  <c r="U15" i="1"/>
  <c r="U9" i="1"/>
  <c r="U16" i="1"/>
  <c r="U8" i="1"/>
  <c r="U12" i="1"/>
  <c r="U13" i="1"/>
  <c r="V5" i="1"/>
  <c r="V10" i="1" l="1"/>
  <c r="V14" i="1"/>
  <c r="V16" i="1"/>
  <c r="V7" i="1"/>
  <c r="V11" i="1"/>
  <c r="V15" i="1"/>
  <c r="V8" i="1"/>
  <c r="V12" i="1"/>
  <c r="V9" i="1"/>
  <c r="V13" i="1"/>
  <c r="W5" i="1"/>
  <c r="W9" i="1" l="1"/>
  <c r="W13" i="1"/>
  <c r="W10" i="1"/>
  <c r="W14" i="1"/>
  <c r="W12" i="1"/>
  <c r="W16" i="1"/>
  <c r="W7" i="1"/>
  <c r="W11" i="1"/>
  <c r="W15" i="1"/>
  <c r="W8" i="1"/>
  <c r="X5" i="1"/>
  <c r="X9" i="1" l="1"/>
  <c r="X13" i="1"/>
  <c r="X10" i="1"/>
  <c r="X14" i="1"/>
  <c r="X7" i="1"/>
  <c r="X11" i="1"/>
  <c r="X15" i="1"/>
  <c r="X8" i="1"/>
  <c r="X12" i="1"/>
  <c r="X16" i="1"/>
  <c r="Y5" i="1"/>
  <c r="W4" i="1"/>
  <c r="Y8" i="1" l="1"/>
  <c r="Y12" i="1"/>
  <c r="Y16" i="1"/>
  <c r="Y15" i="1"/>
  <c r="Y9" i="1"/>
  <c r="Y13" i="1"/>
  <c r="Y7" i="1"/>
  <c r="Y10" i="1"/>
  <c r="Y14" i="1"/>
  <c r="Y11" i="1"/>
  <c r="Z5" i="1"/>
  <c r="Z8" i="1" l="1"/>
  <c r="Z12" i="1"/>
  <c r="Z16" i="1"/>
  <c r="Z9" i="1"/>
  <c r="Z13" i="1"/>
  <c r="Z10" i="1"/>
  <c r="Z14" i="1"/>
  <c r="Z7" i="1"/>
  <c r="Z11" i="1"/>
  <c r="Z15" i="1"/>
  <c r="AA5" i="1"/>
  <c r="AA7" i="1" l="1"/>
  <c r="AA11" i="1"/>
  <c r="AA15" i="1"/>
  <c r="AA8" i="1"/>
  <c r="AA12" i="1"/>
  <c r="AA16" i="1"/>
  <c r="AA9" i="1"/>
  <c r="AA13" i="1"/>
  <c r="AA10" i="1"/>
  <c r="AA14" i="1"/>
  <c r="AB5" i="1"/>
  <c r="AB7" i="1" l="1"/>
  <c r="AB11" i="1"/>
  <c r="AB15" i="1"/>
  <c r="AB8" i="1"/>
  <c r="AB12" i="1"/>
  <c r="AB16" i="1"/>
  <c r="AB9" i="1"/>
  <c r="AB13" i="1"/>
  <c r="AB10" i="1"/>
  <c r="AB14" i="1"/>
  <c r="AC5" i="1"/>
  <c r="AC10" i="1" l="1"/>
  <c r="AC14" i="1"/>
  <c r="AC7" i="1"/>
  <c r="AC11" i="1"/>
  <c r="AC15" i="1"/>
  <c r="AC16" i="1"/>
  <c r="AC13" i="1"/>
  <c r="AC8" i="1"/>
  <c r="AC12" i="1"/>
  <c r="AC9" i="1"/>
  <c r="AB4" i="1"/>
  <c r="AD5" i="1"/>
  <c r="AD10" i="1" l="1"/>
  <c r="AD14" i="1"/>
  <c r="AD16" i="1"/>
  <c r="AD7" i="1"/>
  <c r="AD11" i="1"/>
  <c r="AD15" i="1"/>
  <c r="AD8" i="1"/>
  <c r="AD12" i="1"/>
  <c r="AD9" i="1"/>
  <c r="AD13" i="1"/>
  <c r="AE5" i="1"/>
  <c r="AE9" i="1" l="1"/>
  <c r="AE13" i="1"/>
  <c r="AE12" i="1"/>
  <c r="AE10" i="1"/>
  <c r="AE14" i="1"/>
  <c r="AE7" i="1"/>
  <c r="AE11" i="1"/>
  <c r="AE15" i="1"/>
  <c r="AE16" i="1"/>
  <c r="AE8" i="1"/>
  <c r="AF5" i="1"/>
  <c r="AF9" i="1" l="1"/>
  <c r="AF13" i="1"/>
  <c r="AF10" i="1"/>
  <c r="AF14" i="1"/>
  <c r="AF7" i="1"/>
  <c r="AF11" i="1"/>
  <c r="AF15" i="1"/>
  <c r="AF16" i="1"/>
  <c r="AF8" i="1"/>
  <c r="AF12" i="1"/>
  <c r="AG5" i="1"/>
  <c r="AG8" i="1" l="1"/>
  <c r="AG12" i="1"/>
  <c r="AG16" i="1"/>
  <c r="AG7" i="1"/>
  <c r="AG9" i="1"/>
  <c r="AG13" i="1"/>
  <c r="AG11" i="1"/>
  <c r="AG10" i="1"/>
  <c r="AG14" i="1"/>
  <c r="AG15" i="1"/>
  <c r="AH5" i="1"/>
  <c r="AF4" i="1"/>
  <c r="AH8" i="1" l="1"/>
  <c r="AH12" i="1"/>
  <c r="AH16" i="1"/>
  <c r="AH9" i="1"/>
  <c r="AH13" i="1"/>
  <c r="AH10" i="1"/>
  <c r="AH14" i="1"/>
  <c r="AH7" i="1"/>
  <c r="AH11" i="1"/>
  <c r="AH15" i="1"/>
  <c r="AI5" i="1"/>
  <c r="AI7" i="1" l="1"/>
  <c r="AI11" i="1"/>
  <c r="AI15" i="1"/>
  <c r="AI8" i="1"/>
  <c r="AI12" i="1"/>
  <c r="AI16" i="1"/>
  <c r="AI14" i="1"/>
  <c r="AI10" i="1"/>
  <c r="AI9" i="1"/>
  <c r="AI13" i="1"/>
  <c r="AJ5" i="1"/>
  <c r="AJ7" i="1" l="1"/>
  <c r="AJ11" i="1"/>
  <c r="AJ15" i="1"/>
  <c r="AJ8" i="1"/>
  <c r="AJ12" i="1"/>
  <c r="AJ16" i="1"/>
  <c r="AJ9" i="1"/>
  <c r="AJ13" i="1"/>
  <c r="AJ14" i="1"/>
  <c r="AJ10" i="1"/>
  <c r="AK5" i="1"/>
  <c r="AK10" i="1" l="1"/>
  <c r="AK14" i="1"/>
  <c r="AK16" i="1"/>
  <c r="AK7" i="1"/>
  <c r="AK11" i="1"/>
  <c r="AK15" i="1"/>
  <c r="AK9" i="1"/>
  <c r="AK13" i="1"/>
  <c r="AK8" i="1"/>
  <c r="AK12" i="1"/>
  <c r="AJ4" i="1"/>
  <c r="AL5" i="1"/>
  <c r="AL10" i="1" l="1"/>
  <c r="AL14" i="1"/>
  <c r="AL7" i="1"/>
  <c r="AL11" i="1"/>
  <c r="AL15" i="1"/>
  <c r="AL8" i="1"/>
  <c r="AL12" i="1"/>
  <c r="AL16" i="1"/>
  <c r="AL9" i="1"/>
  <c r="AL13" i="1"/>
  <c r="AM5" i="1"/>
  <c r="AM9" i="1" l="1"/>
  <c r="AM13" i="1"/>
  <c r="AM12" i="1"/>
  <c r="AM16" i="1"/>
  <c r="AM10" i="1"/>
  <c r="AM14" i="1"/>
  <c r="AM8" i="1"/>
  <c r="AM7" i="1"/>
  <c r="AM11" i="1"/>
  <c r="AM15" i="1"/>
  <c r="AN5" i="1"/>
  <c r="AN15" i="1" l="1"/>
  <c r="AN9" i="1"/>
  <c r="AN13" i="1"/>
  <c r="AN10" i="1"/>
  <c r="AN14" i="1"/>
  <c r="AN7" i="1"/>
  <c r="AN11" i="1"/>
  <c r="AN12" i="1"/>
  <c r="AN16" i="1"/>
  <c r="AN8" i="1"/>
  <c r="AO5" i="1"/>
  <c r="AO8" i="1" l="1"/>
  <c r="AO12" i="1"/>
  <c r="AO16" i="1"/>
  <c r="AO9" i="1"/>
  <c r="AO13" i="1"/>
  <c r="AO15" i="1"/>
  <c r="AO7" i="1"/>
  <c r="AO10" i="1"/>
  <c r="AO14" i="1"/>
  <c r="AO11" i="1"/>
  <c r="AP5" i="1"/>
  <c r="AP8" i="1" l="1"/>
  <c r="AP12" i="1"/>
  <c r="AP16" i="1"/>
  <c r="AP9" i="1"/>
  <c r="AP13" i="1"/>
  <c r="AP10" i="1"/>
  <c r="AP14" i="1"/>
  <c r="AP7" i="1"/>
  <c r="AP15" i="1"/>
  <c r="AP11" i="1"/>
  <c r="AQ5" i="1"/>
  <c r="AO4" i="1"/>
  <c r="AQ7" i="1" l="1"/>
  <c r="AQ11" i="1"/>
  <c r="AQ15" i="1"/>
  <c r="AQ10" i="1"/>
  <c r="AQ8" i="1"/>
  <c r="AQ12" i="1"/>
  <c r="AQ16" i="1"/>
  <c r="AQ9" i="1"/>
  <c r="AQ13" i="1"/>
  <c r="AQ14" i="1"/>
  <c r="AR5" i="1"/>
  <c r="AR7" i="1" l="1"/>
  <c r="AR11" i="1"/>
  <c r="AR15" i="1"/>
  <c r="AR8" i="1"/>
  <c r="AR12" i="1"/>
  <c r="AR16" i="1"/>
  <c r="AR9" i="1"/>
  <c r="AR13" i="1"/>
  <c r="AR10" i="1"/>
  <c r="AR14" i="1"/>
</calcChain>
</file>

<file path=xl/sharedStrings.xml><?xml version="1.0" encoding="utf-8"?>
<sst xmlns="http://schemas.openxmlformats.org/spreadsheetml/2006/main" count="93" uniqueCount="70">
  <si>
    <t>Project Start Date:</t>
  </si>
  <si>
    <t>Project Name:</t>
  </si>
  <si>
    <t>Week starting:</t>
  </si>
  <si>
    <t>#</t>
  </si>
  <si>
    <t>Activity</t>
  </si>
  <si>
    <t>Assigned To</t>
  </si>
  <si>
    <t>Start</t>
  </si>
  <si>
    <t>End</t>
  </si>
  <si>
    <t>Days</t>
  </si>
  <si>
    <t>Status</t>
  </si>
  <si>
    <t>%Done</t>
  </si>
  <si>
    <t>Not started</t>
  </si>
  <si>
    <t>In progress</t>
  </si>
  <si>
    <t>Completed</t>
  </si>
  <si>
    <t>Blocked</t>
  </si>
  <si>
    <t>Enterprise CRM System Implementation</t>
  </si>
  <si>
    <t>Project Initiation &amp; Planning</t>
  </si>
  <si>
    <t>Sarah Johnson</t>
  </si>
  <si>
    <t>Requirements Gathering &amp; Analysis</t>
  </si>
  <si>
    <t>Michael Chen</t>
  </si>
  <si>
    <t>System Architecture Design</t>
  </si>
  <si>
    <t>David Kumar</t>
  </si>
  <si>
    <t>Database Design &amp; Development</t>
  </si>
  <si>
    <t>Emma Wilson</t>
  </si>
  <si>
    <t>Backend API Development</t>
  </si>
  <si>
    <t>James Rodriguez</t>
  </si>
  <si>
    <t>Frontend UI Development</t>
  </si>
  <si>
    <t>Lisa Park</t>
  </si>
  <si>
    <t>Integration &amp; System Testing</t>
  </si>
  <si>
    <t>Robert Taylor</t>
  </si>
  <si>
    <t>User Acceptance Testing (UAT)</t>
  </si>
  <si>
    <t>Anna Martinez</t>
  </si>
  <si>
    <t>Deployment &amp; Go-Live</t>
  </si>
  <si>
    <t>Chris Brown</t>
  </si>
  <si>
    <t>Post Go-Live Support &amp; Training</t>
  </si>
  <si>
    <t>Jennifer Lee</t>
  </si>
  <si>
    <t>GANTT CHART</t>
  </si>
  <si>
    <t>Enterprise CRM System Implementation - Project Timeline</t>
  </si>
  <si>
    <t>What is a Gantt Chart?</t>
  </si>
  <si>
    <t>A Gantt Chart is a visual project management tool that displays tasks or activities against time. Each task is represented as a horizontal bar, where:
• The left edge shows when a task starts
• The right edge shows when a task ends
• The length of the bar represents the task duration
• Colors often indicate task status (completed, in progress, blocked, not started)
Gantt charts help project managers and teams see the entire project timeline at a glance, identify task dependencies, track progress, and ensure deadlines are met.</t>
  </si>
  <si>
    <t>R</t>
  </si>
  <si>
    <t>C</t>
  </si>
  <si>
    <t>A</t>
  </si>
  <si>
    <t>I</t>
  </si>
  <si>
    <t>Deliverables</t>
  </si>
  <si>
    <t>RACI - Resource Assignment Matrix</t>
  </si>
  <si>
    <t>Project Manager:</t>
  </si>
  <si>
    <r>
      <rPr>
        <b/>
        <sz val="11"/>
        <rFont val="Wingdings"/>
        <charset val="2"/>
      </rPr>
      <t>u</t>
    </r>
    <r>
      <rPr>
        <b/>
        <sz val="11"/>
        <color theme="5"/>
        <rFont val="Calibri"/>
        <family val="2"/>
      </rPr>
      <t xml:space="preserve"> R</t>
    </r>
    <r>
      <rPr>
        <b/>
        <sz val="11"/>
        <color theme="1"/>
        <rFont val="Calibri"/>
        <family val="2"/>
      </rPr>
      <t xml:space="preserve"> - Responsible - who performs the task </t>
    </r>
    <r>
      <rPr>
        <b/>
        <sz val="11"/>
        <color theme="1"/>
        <rFont val="Wingdings"/>
        <charset val="2"/>
      </rPr>
      <t>u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5"/>
        <rFont val="Calibri"/>
        <family val="2"/>
      </rPr>
      <t>A</t>
    </r>
    <r>
      <rPr>
        <b/>
        <sz val="11"/>
        <color theme="1"/>
        <rFont val="Calibri"/>
        <family val="2"/>
      </rPr>
      <t xml:space="preserve"> - Accountable - who signs off </t>
    </r>
    <r>
      <rPr>
        <b/>
        <sz val="11"/>
        <color theme="1"/>
        <rFont val="Wingdings"/>
        <charset val="2"/>
      </rPr>
      <t>u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5"/>
        <rFont val="Calibri"/>
        <family val="2"/>
      </rPr>
      <t>C</t>
    </r>
    <r>
      <rPr>
        <b/>
        <sz val="11"/>
        <color theme="1"/>
        <rFont val="Calibri"/>
        <family val="2"/>
      </rPr>
      <t xml:space="preserve"> - Consulted - who provides expert judgement </t>
    </r>
    <r>
      <rPr>
        <b/>
        <sz val="11"/>
        <color theme="1"/>
        <rFont val="Wingdings"/>
        <charset val="2"/>
      </rPr>
      <t>u</t>
    </r>
    <r>
      <rPr>
        <b/>
        <sz val="11"/>
        <color theme="1"/>
        <rFont val="Calibri"/>
        <family val="2"/>
      </rPr>
      <t xml:space="preserve"> </t>
    </r>
    <r>
      <rPr>
        <b/>
        <sz val="11"/>
        <color theme="5"/>
        <rFont val="Calibri"/>
        <family val="2"/>
      </rPr>
      <t>I</t>
    </r>
    <r>
      <rPr>
        <b/>
        <sz val="11"/>
        <color theme="1"/>
        <rFont val="Calibri"/>
        <family val="2"/>
      </rPr>
      <t xml:space="preserve"> - who is kept informed</t>
    </r>
  </si>
  <si>
    <t>Task or deliverable</t>
  </si>
  <si>
    <t>Name</t>
  </si>
  <si>
    <t>Project Role</t>
  </si>
  <si>
    <t>Jones</t>
  </si>
  <si>
    <t>Billy</t>
  </si>
  <si>
    <t>Tommy</t>
  </si>
  <si>
    <t>Anne</t>
  </si>
  <si>
    <t>Project manager</t>
  </si>
  <si>
    <t>Business Analyst</t>
  </si>
  <si>
    <t>Executive Sponser</t>
  </si>
  <si>
    <t>Developer</t>
  </si>
  <si>
    <t>R - Responsible - who performs the task</t>
  </si>
  <si>
    <t>A - Accountable - who signs off</t>
  </si>
  <si>
    <t>C - Consulted - who provides expert judgement</t>
  </si>
  <si>
    <t>I - who is kept informed</t>
  </si>
  <si>
    <t>What is a RACI Matrix?</t>
  </si>
  <si>
    <t>A RACI Matrix (also called a Responsibility Assignment Matrix) is a project management tool used to clarify roles and responsibilities for tasks and deliverables.</t>
  </si>
  <si>
    <t>• R - Responsible: The person who performs the work to complete the task. There can be multiple people responsible.</t>
  </si>
  <si>
    <t>• A - Accountable: The person who is ultimately answerable for the task's completion. There should be only ONE accountable person per task.</t>
  </si>
  <si>
    <t>• C - Consulted: People who provide input and expertise before or during the task. Communication is two-way.</t>
  </si>
  <si>
    <t>• I - Informed: People who need to be kept updated on progress or decisions. Communication is one-way.</t>
  </si>
  <si>
    <t>Benefits: Eliminates confusion about roles, prevents tasks from falling through the cracks, ensures proper communication, and helps identify overloaded team members.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</si>
</sst>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m\-yy"/>
    <numFmt numFmtId="165" formatCode="mmm"/>
    <numFmt numFmtId="166" formatCode="yyyy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8"/>
      <color rgb="FFFFFFFF"/>
      <name val="Segoe UI"/>
      <family val="2"/>
    </font>
    <font>
      <i/>
      <sz val="11"/>
      <color rgb="FF1F4E79"/>
      <name val="Segoe UI"/>
      <family val="2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1F4E79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11"/>
      <color rgb="FFFFFFFF"/>
      <name val="Segoe UI"/>
      <family val="2"/>
    </font>
    <font>
      <b/>
      <sz val="10"/>
      <color rgb="FF1F4E79"/>
      <name val="Segoe UI"/>
      <family val="2"/>
    </font>
    <font>
      <sz val="10"/>
      <color rgb="FF333333"/>
      <name val="Segoe UI"/>
      <family val="2"/>
    </font>
    <font>
      <sz val="10"/>
      <color rgb="FF595959"/>
      <name val="Segoe UI"/>
      <family val="2"/>
    </font>
    <font>
      <b/>
      <sz val="10"/>
      <color rgb="FF2E75B6"/>
      <name val="Segoe UI"/>
      <family val="2"/>
    </font>
    <font>
      <b/>
      <sz val="10"/>
      <color rgb="FF006100"/>
      <name val="Segoe UI"/>
      <family val="2"/>
    </font>
    <font>
      <b/>
      <sz val="10"/>
      <color rgb="FF9C0006"/>
      <name val="Segoe UI"/>
      <family val="2"/>
    </font>
    <font>
      <b/>
      <sz val="10"/>
      <color rgb="FF9C5700"/>
      <name val="Segoe UI"/>
      <family val="2"/>
    </font>
    <font>
      <b/>
      <sz val="10"/>
      <color rgb="FF595959"/>
      <name val="Segoe UI"/>
      <family val="2"/>
    </font>
    <font>
      <b/>
      <sz val="12"/>
      <color rgb="FF1F4E79"/>
      <name val="Aptos Narrow"/>
      <family val="2"/>
      <scheme val="minor"/>
    </font>
    <font>
      <b/>
      <sz val="11"/>
      <color rgb="FF595959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6"/>
      <color rgb="FF006100"/>
      <name val="Wingdings"/>
      <charset val="2"/>
    </font>
    <font>
      <sz val="16"/>
      <color rgb="FF9C0006"/>
      <name val="Wingdings"/>
      <charset val="2"/>
    </font>
    <font>
      <sz val="16"/>
      <color rgb="FF9C5700"/>
      <name val="Wingdings"/>
      <charset val="2"/>
    </font>
    <font>
      <sz val="16"/>
      <color rgb="FF595959"/>
      <name val="Wingdings"/>
      <charset val="2"/>
    </font>
    <font>
      <b/>
      <sz val="11"/>
      <color rgb="FF2E75B6"/>
      <name val="Aptos Narrow"/>
      <family val="2"/>
      <scheme val="minor"/>
    </font>
    <font>
      <b/>
      <i/>
      <sz val="11"/>
      <color rgb="FF2E75B6"/>
      <name val="Aptos Narrow"/>
      <family val="2"/>
      <scheme val="minor"/>
    </font>
    <font>
      <b/>
      <i/>
      <sz val="10"/>
      <color rgb="FF1F4E79"/>
      <name val="Aptos Narrow"/>
      <family val="2"/>
      <scheme val="minor"/>
    </font>
    <font>
      <sz val="11"/>
      <color rgb="FF2E405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/>
      <name val="Calibri"/>
      <family val="2"/>
    </font>
    <font>
      <i/>
      <sz val="20"/>
      <color theme="0"/>
      <name val="Calibri"/>
      <family val="2"/>
    </font>
    <font>
      <b/>
      <sz val="11"/>
      <color theme="1"/>
      <name val="Calibri"/>
      <family val="2"/>
      <charset val="2"/>
    </font>
    <font>
      <b/>
      <sz val="11"/>
      <name val="Wingdings"/>
      <charset val="2"/>
    </font>
    <font>
      <b/>
      <sz val="11"/>
      <color theme="5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Wingdings"/>
      <charset val="2"/>
    </font>
    <font>
      <sz val="11"/>
      <color theme="1"/>
      <name val="Calibri"/>
      <family val="2"/>
    </font>
    <font>
      <sz val="18"/>
      <color theme="1" tint="0.499984740745262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AFCFE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53C4F"/>
        <bgColor indexed="64"/>
      </patternFill>
    </fill>
    <fill>
      <patternFill patternType="solid">
        <fgColor rgb="FF99DC7E"/>
        <bgColor indexed="64"/>
      </patternFill>
    </fill>
    <fill>
      <patternFill patternType="solid">
        <fgColor rgb="FFF2F2F2"/>
        <bgColor indexed="64"/>
      </patternFill>
    </fill>
  </fills>
  <borders count="78">
    <border>
      <left/>
      <right/>
      <top/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14993743705557422"/>
      </right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thin">
        <color theme="0" tint="-0.14993743705557422"/>
      </right>
      <top style="thin">
        <color rgb="FFD6DCE5"/>
      </top>
      <bottom/>
      <diagonal/>
    </border>
    <border>
      <left/>
      <right/>
      <top style="thin">
        <color rgb="FFD6DCE5"/>
      </top>
      <bottom/>
      <diagonal/>
    </border>
    <border>
      <left style="thin">
        <color rgb="FFE0E6ED"/>
      </left>
      <right style="thin">
        <color rgb="FFE0E6ED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rgb="FFE0E6ED"/>
      </right>
      <top/>
      <bottom style="thin">
        <color theme="0" tint="-0.14996795556505021"/>
      </bottom>
      <diagonal/>
    </border>
    <border>
      <left/>
      <right/>
      <top style="medium">
        <color rgb="FF1F4E79"/>
      </top>
      <bottom/>
      <diagonal/>
    </border>
    <border>
      <left/>
      <right style="thin">
        <color theme="0" tint="-0.14993743705557422"/>
      </right>
      <top style="thin">
        <color rgb="FFD6DCE5"/>
      </top>
      <bottom style="medium">
        <color rgb="FF1F4E79"/>
      </bottom>
      <diagonal/>
    </border>
    <border>
      <left/>
      <right/>
      <top style="thin">
        <color rgb="FFD6DCE5"/>
      </top>
      <bottom style="medium">
        <color rgb="FF1F4E79"/>
      </bottom>
      <diagonal/>
    </border>
    <border>
      <left/>
      <right/>
      <top/>
      <bottom style="medium">
        <color rgb="FF1F4E79"/>
      </bottom>
      <diagonal/>
    </border>
    <border>
      <left style="thin">
        <color theme="0" tint="-0.14996795556505021"/>
      </left>
      <right style="thin">
        <color rgb="FFE0E6ED"/>
      </right>
      <top/>
      <bottom style="medium">
        <color rgb="FF1F4E79"/>
      </bottom>
      <diagonal/>
    </border>
    <border>
      <left style="thin">
        <color rgb="FFE0E6ED"/>
      </left>
      <right style="thin">
        <color rgb="FFE0E6ED"/>
      </right>
      <top/>
      <bottom style="medium">
        <color rgb="FF1F4E79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 style="medium">
        <color rgb="FFFFFFFF"/>
      </top>
      <bottom/>
      <diagonal/>
    </border>
    <border>
      <left style="medium">
        <color rgb="FF1F4E79"/>
      </left>
      <right/>
      <top style="thin">
        <color rgb="FFD6DCE5"/>
      </top>
      <bottom/>
      <diagonal/>
    </border>
    <border>
      <left style="medium">
        <color rgb="FF1F4E79"/>
      </left>
      <right/>
      <top style="thin">
        <color rgb="FFD6DCE5"/>
      </top>
      <bottom style="medium">
        <color rgb="FF1F4E79"/>
      </bottom>
      <diagonal/>
    </border>
    <border>
      <left style="thin">
        <color rgb="FFE0E6ED"/>
      </left>
      <right style="medium">
        <color rgb="FF1F4E79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rgb="FFE0E6ED"/>
      </left>
      <right style="medium">
        <color rgb="FF1F4E79"/>
      </right>
      <top/>
      <bottom style="thin">
        <color theme="0" tint="-0.14996795556505021"/>
      </bottom>
      <diagonal/>
    </border>
    <border>
      <left style="thin">
        <color rgb="FFE0E6ED"/>
      </left>
      <right style="medium">
        <color rgb="FF1F4E79"/>
      </right>
      <top/>
      <bottom style="medium">
        <color rgb="FF1F4E7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1F4E79"/>
      </left>
      <right/>
      <top/>
      <bottom/>
      <diagonal/>
    </border>
    <border>
      <left/>
      <right style="thin">
        <color theme="0" tint="-0.14993743705557422"/>
      </right>
      <top/>
      <bottom/>
      <diagonal/>
    </border>
    <border>
      <left/>
      <right style="thin">
        <color rgb="FFE0E6ED"/>
      </right>
      <top/>
      <bottom style="thin">
        <color theme="0" tint="-0.14993743705557422"/>
      </bottom>
      <diagonal/>
    </border>
    <border>
      <left style="thin">
        <color rgb="FFE0E6ED"/>
      </left>
      <right style="thin">
        <color rgb="FFE0E6ED"/>
      </right>
      <top/>
      <bottom style="thin">
        <color theme="0" tint="-0.14993743705557422"/>
      </bottom>
      <diagonal/>
    </border>
    <border>
      <left style="thin">
        <color rgb="FFE0E6ED"/>
      </left>
      <right style="medium">
        <color rgb="FF1F4E79"/>
      </right>
      <top/>
      <bottom style="thin">
        <color theme="0" tint="-0.14993743705557422"/>
      </bottom>
      <diagonal/>
    </border>
    <border>
      <left style="thin">
        <color theme="0" tint="-0.1498764000366222"/>
      </left>
      <right style="thin">
        <color rgb="FFE0E6ED"/>
      </right>
      <top style="thin">
        <color theme="0" tint="-0.14990691854609822"/>
      </top>
      <bottom style="thin">
        <color rgb="FF2E75B6"/>
      </bottom>
      <diagonal/>
    </border>
    <border>
      <left style="thin">
        <color rgb="FFE0E6ED"/>
      </left>
      <right style="thin">
        <color rgb="FFE0E6ED"/>
      </right>
      <top/>
      <bottom style="thin">
        <color rgb="FF2E75B6"/>
      </bottom>
      <diagonal/>
    </border>
    <border>
      <left style="thin">
        <color rgb="FFE0E6ED"/>
      </left>
      <right style="thin">
        <color theme="0" tint="-0.14993743705557422"/>
      </right>
      <top style="thin">
        <color theme="0" tint="-0.14996795556505021"/>
      </top>
      <bottom style="thin">
        <color rgb="FF2E75B6"/>
      </bottom>
      <diagonal/>
    </border>
    <border>
      <left/>
      <right/>
      <top style="thin">
        <color rgb="FFBDD7EE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DD7EE"/>
      </bottom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rgb="FFBDD7EE"/>
      </left>
      <right/>
      <top/>
      <bottom/>
      <diagonal/>
    </border>
    <border>
      <left style="thin">
        <color rgb="FFBDD7EE"/>
      </left>
      <right/>
      <top/>
      <bottom style="thin">
        <color rgb="FFBDD7EE"/>
      </bottom>
      <diagonal/>
    </border>
    <border>
      <left/>
      <right style="thin">
        <color rgb="FFBDD7EE"/>
      </right>
      <top style="thin">
        <color rgb="FFBDD7EE"/>
      </top>
      <bottom/>
      <diagonal/>
    </border>
    <border>
      <left/>
      <right style="thin">
        <color rgb="FFBDD7EE"/>
      </right>
      <top/>
      <bottom/>
      <diagonal/>
    </border>
    <border>
      <left/>
      <right style="thin">
        <color rgb="FFBDD7EE"/>
      </right>
      <top/>
      <bottom style="thin">
        <color rgb="FFBDD7EE"/>
      </bottom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dotted">
        <color theme="1" tint="0.34998626667073579"/>
      </right>
      <top style="thin">
        <color auto="1"/>
      </top>
      <bottom style="dotted">
        <color theme="1" tint="0.34998626667073579"/>
      </bottom>
      <diagonal/>
    </border>
    <border>
      <left style="dotted">
        <color theme="1" tint="0.34998626667073579"/>
      </left>
      <right style="dotted">
        <color theme="1" tint="0.34998626667073579"/>
      </right>
      <top style="thin">
        <color auto="1"/>
      </top>
      <bottom style="dotted">
        <color theme="1" tint="0.34998626667073579"/>
      </bottom>
      <diagonal/>
    </border>
    <border>
      <left style="medium">
        <color indexed="64"/>
      </left>
      <right style="dotted">
        <color theme="1" tint="0.34998626667073579"/>
      </right>
      <top style="dotted">
        <color theme="1" tint="0.34998626667073579"/>
      </top>
      <bottom style="dotted">
        <color theme="1" tint="0.34998626667073579"/>
      </bottom>
      <diagonal/>
    </border>
    <border>
      <left style="dotted">
        <color theme="1" tint="0.34998626667073579"/>
      </left>
      <right style="dotted">
        <color theme="1" tint="0.34998626667073579"/>
      </right>
      <top style="dotted">
        <color theme="1" tint="0.34998626667073579"/>
      </top>
      <bottom style="dotted">
        <color theme="1" tint="0.34998626667073579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tted">
        <color theme="1" tint="0.34998626667073579"/>
      </left>
      <right style="medium">
        <color indexed="64"/>
      </right>
      <top style="thin">
        <color auto="1"/>
      </top>
      <bottom style="dotted">
        <color theme="1" tint="0.34998626667073579"/>
      </bottom>
      <diagonal/>
    </border>
    <border>
      <left style="dotted">
        <color theme="1" tint="0.34998626667073579"/>
      </left>
      <right style="medium">
        <color indexed="64"/>
      </right>
      <top style="dotted">
        <color theme="1" tint="0.34998626667073579"/>
      </top>
      <bottom style="dotted">
        <color theme="1" tint="0.34998626667073579"/>
      </bottom>
      <diagonal/>
    </border>
    <border>
      <left style="medium">
        <color indexed="64"/>
      </left>
      <right style="dotted">
        <color theme="1" tint="0.34998626667073579"/>
      </right>
      <top style="dotted">
        <color theme="1" tint="0.34998626667073579"/>
      </top>
      <bottom style="medium">
        <color indexed="64"/>
      </bottom>
      <diagonal/>
    </border>
    <border>
      <left style="dotted">
        <color theme="1" tint="0.34998626667073579"/>
      </left>
      <right style="dotted">
        <color theme="1" tint="0.34998626667073579"/>
      </right>
      <top style="dotted">
        <color theme="1" tint="0.34998626667073579"/>
      </top>
      <bottom style="medium">
        <color indexed="64"/>
      </bottom>
      <diagonal/>
    </border>
    <border>
      <left style="dotted">
        <color theme="1" tint="0.34998626667073579"/>
      </left>
      <right style="medium">
        <color indexed="64"/>
      </right>
      <top style="dotted">
        <color theme="1" tint="0.34998626667073579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5">
    <xf numFmtId="0" fontId="0" fillId="0" borderId="0" xfId="0"/>
    <xf numFmtId="0" fontId="11" fillId="7" borderId="9" xfId="0" applyFont="1" applyFill="1" applyBorder="1" applyAlignment="1">
      <alignment horizontal="left" vertical="center" indent="2"/>
    </xf>
    <xf numFmtId="0" fontId="11" fillId="8" borderId="11" xfId="0" applyFont="1" applyFill="1" applyBorder="1" applyAlignment="1">
      <alignment horizontal="left" vertical="center" indent="2"/>
    </xf>
    <xf numFmtId="0" fontId="11" fillId="7" borderId="11" xfId="0" applyFont="1" applyFill="1" applyBorder="1" applyAlignment="1">
      <alignment horizontal="left" vertical="center" indent="2"/>
    </xf>
    <xf numFmtId="0" fontId="12" fillId="7" borderId="10" xfId="0" applyFont="1" applyFill="1" applyBorder="1" applyAlignment="1">
      <alignment horizontal="left" vertical="center" indent="2"/>
    </xf>
    <xf numFmtId="0" fontId="12" fillId="8" borderId="12" xfId="0" applyFont="1" applyFill="1" applyBorder="1" applyAlignment="1">
      <alignment horizontal="left" vertical="center" indent="2"/>
    </xf>
    <xf numFmtId="0" fontId="12" fillId="7" borderId="12" xfId="0" applyFont="1" applyFill="1" applyBorder="1" applyAlignment="1">
      <alignment horizontal="left" vertical="center" indent="2"/>
    </xf>
    <xf numFmtId="15" fontId="12" fillId="7" borderId="10" xfId="0" applyNumberFormat="1" applyFont="1" applyFill="1" applyBorder="1" applyAlignment="1">
      <alignment horizontal="center" vertical="center" indent="2"/>
    </xf>
    <xf numFmtId="15" fontId="12" fillId="7" borderId="10" xfId="0" applyNumberFormat="1" applyFont="1" applyFill="1" applyBorder="1" applyAlignment="1">
      <alignment horizontal="center" vertical="center" indent="1"/>
    </xf>
    <xf numFmtId="15" fontId="12" fillId="8" borderId="12" xfId="0" applyNumberFormat="1" applyFont="1" applyFill="1" applyBorder="1" applyAlignment="1">
      <alignment horizontal="center" vertical="center" indent="2"/>
    </xf>
    <xf numFmtId="15" fontId="12" fillId="8" borderId="12" xfId="0" applyNumberFormat="1" applyFont="1" applyFill="1" applyBorder="1" applyAlignment="1">
      <alignment horizontal="center" vertical="center" indent="1"/>
    </xf>
    <xf numFmtId="15" fontId="12" fillId="7" borderId="12" xfId="0" applyNumberFormat="1" applyFont="1" applyFill="1" applyBorder="1" applyAlignment="1">
      <alignment horizontal="center" vertical="center" indent="2"/>
    </xf>
    <xf numFmtId="15" fontId="12" fillId="7" borderId="12" xfId="0" applyNumberFormat="1" applyFont="1" applyFill="1" applyBorder="1" applyAlignment="1">
      <alignment horizontal="center" vertical="center" indent="1"/>
    </xf>
    <xf numFmtId="0" fontId="13" fillId="7" borderId="10" xfId="0" applyFont="1" applyFill="1" applyBorder="1" applyAlignment="1">
      <alignment horizontal="center" vertical="center" indent="1"/>
    </xf>
    <xf numFmtId="0" fontId="13" fillId="8" borderId="12" xfId="0" applyFont="1" applyFill="1" applyBorder="1" applyAlignment="1">
      <alignment horizontal="center" vertical="center" indent="1"/>
    </xf>
    <xf numFmtId="0" fontId="13" fillId="7" borderId="12" xfId="0" applyFont="1" applyFill="1" applyBorder="1" applyAlignment="1">
      <alignment horizontal="center" vertical="center" indent="1"/>
    </xf>
    <xf numFmtId="0" fontId="14" fillId="9" borderId="10" xfId="0" applyFont="1" applyFill="1" applyBorder="1" applyAlignment="1">
      <alignment horizontal="center" vertical="center" indent="1"/>
    </xf>
    <xf numFmtId="0" fontId="14" fillId="9" borderId="12" xfId="0" applyFont="1" applyFill="1" applyBorder="1" applyAlignment="1">
      <alignment horizontal="center" vertical="center" indent="1"/>
    </xf>
    <xf numFmtId="0" fontId="15" fillId="10" borderId="12" xfId="0" applyFont="1" applyFill="1" applyBorder="1" applyAlignment="1">
      <alignment horizontal="center" vertical="center" indent="1"/>
    </xf>
    <xf numFmtId="0" fontId="16" fillId="11" borderId="12" xfId="0" applyFont="1" applyFill="1" applyBorder="1" applyAlignment="1">
      <alignment horizontal="center" vertical="center" indent="1"/>
    </xf>
    <xf numFmtId="0" fontId="17" fillId="12" borderId="12" xfId="0" applyFont="1" applyFill="1" applyBorder="1" applyAlignment="1">
      <alignment horizontal="center" vertical="center" indent="1"/>
    </xf>
    <xf numFmtId="0" fontId="11" fillId="8" borderId="16" xfId="0" applyFont="1" applyFill="1" applyBorder="1" applyAlignment="1">
      <alignment horizontal="left" vertical="center" indent="2"/>
    </xf>
    <xf numFmtId="0" fontId="12" fillId="8" borderId="17" xfId="0" applyFont="1" applyFill="1" applyBorder="1" applyAlignment="1">
      <alignment horizontal="left" vertical="center" indent="2"/>
    </xf>
    <xf numFmtId="15" fontId="12" fillId="8" borderId="17" xfId="0" applyNumberFormat="1" applyFont="1" applyFill="1" applyBorder="1" applyAlignment="1">
      <alignment horizontal="center" vertical="center" indent="2"/>
    </xf>
    <xf numFmtId="15" fontId="12" fillId="8" borderId="17" xfId="0" applyNumberFormat="1" applyFont="1" applyFill="1" applyBorder="1" applyAlignment="1">
      <alignment horizontal="center" vertical="center" indent="1"/>
    </xf>
    <xf numFmtId="0" fontId="13" fillId="8" borderId="17" xfId="0" applyFont="1" applyFill="1" applyBorder="1" applyAlignment="1">
      <alignment horizontal="center" vertical="center" indent="1"/>
    </xf>
    <xf numFmtId="0" fontId="17" fillId="12" borderId="17" xfId="0" applyFont="1" applyFill="1" applyBorder="1" applyAlignment="1">
      <alignment horizontal="center" vertical="center" indent="1"/>
    </xf>
    <xf numFmtId="0" fontId="10" fillId="7" borderId="22" xfId="0" applyFont="1" applyFill="1" applyBorder="1" applyAlignment="1">
      <alignment horizontal="center" vertical="center"/>
    </xf>
    <xf numFmtId="0" fontId="10" fillId="8" borderId="23" xfId="0" applyFont="1" applyFill="1" applyBorder="1" applyAlignment="1">
      <alignment horizontal="center" vertical="center"/>
    </xf>
    <xf numFmtId="0" fontId="10" fillId="7" borderId="23" xfId="0" applyFont="1" applyFill="1" applyBorder="1" applyAlignment="1">
      <alignment horizontal="center" vertical="center"/>
    </xf>
    <xf numFmtId="0" fontId="10" fillId="8" borderId="24" xfId="0" applyFont="1" applyFill="1" applyBorder="1" applyAlignment="1">
      <alignment horizontal="center" vertical="center"/>
    </xf>
    <xf numFmtId="0" fontId="0" fillId="2" borderId="0" xfId="0" applyFill="1"/>
    <xf numFmtId="0" fontId="0" fillId="3" borderId="18" xfId="0" applyFill="1" applyBorder="1"/>
    <xf numFmtId="0" fontId="9" fillId="2" borderId="30" xfId="0" applyFont="1" applyFill="1" applyBorder="1" applyAlignment="1">
      <alignment horizontal="center" vertical="center"/>
    </xf>
    <xf numFmtId="0" fontId="9" fillId="2" borderId="31" xfId="0" applyFont="1" applyFill="1" applyBorder="1" applyAlignment="1">
      <alignment horizontal="center" vertical="center" indent="2"/>
    </xf>
    <xf numFmtId="0" fontId="9" fillId="2" borderId="0" xfId="0" applyFont="1" applyFill="1" applyAlignment="1">
      <alignment horizontal="center" vertical="center" indent="2"/>
    </xf>
    <xf numFmtId="0" fontId="9" fillId="2" borderId="0" xfId="0" applyFont="1" applyFill="1" applyAlignment="1">
      <alignment horizontal="center" vertical="center" indent="1"/>
    </xf>
    <xf numFmtId="0" fontId="9" fillId="2" borderId="31" xfId="0" applyFont="1" applyFill="1" applyBorder="1" applyAlignment="1">
      <alignment horizontal="center" vertical="center" indent="1"/>
    </xf>
    <xf numFmtId="0" fontId="0" fillId="0" borderId="32" xfId="0" applyBorder="1"/>
    <xf numFmtId="0" fontId="0" fillId="0" borderId="33" xfId="0" applyBorder="1"/>
    <xf numFmtId="0" fontId="0" fillId="0" borderId="34" xfId="0" applyBorder="1"/>
    <xf numFmtId="16" fontId="8" fillId="6" borderId="35" xfId="0" applyNumberFormat="1" applyFont="1" applyFill="1" applyBorder="1" applyAlignment="1">
      <alignment horizontal="center" vertical="center" textRotation="90"/>
    </xf>
    <xf numFmtId="16" fontId="8" fillId="6" borderId="36" xfId="0" applyNumberFormat="1" applyFont="1" applyFill="1" applyBorder="1" applyAlignment="1">
      <alignment horizontal="center" vertical="center" textRotation="90"/>
    </xf>
    <xf numFmtId="16" fontId="8" fillId="6" borderId="37" xfId="0" applyNumberFormat="1" applyFont="1" applyFill="1" applyBorder="1" applyAlignment="1">
      <alignment horizontal="center" vertical="center" textRotation="90"/>
    </xf>
    <xf numFmtId="0" fontId="23" fillId="13" borderId="14" xfId="0" applyFont="1" applyFill="1" applyBorder="1" applyAlignment="1">
      <alignment horizontal="center" vertical="center"/>
    </xf>
    <xf numFmtId="0" fontId="23" fillId="13" borderId="13" xfId="0" applyFont="1" applyFill="1" applyBorder="1" applyAlignment="1">
      <alignment horizontal="center" vertical="center"/>
    </xf>
    <xf numFmtId="0" fontId="23" fillId="13" borderId="25" xfId="0" applyFont="1" applyFill="1" applyBorder="1" applyAlignment="1">
      <alignment horizontal="center" vertical="center"/>
    </xf>
    <xf numFmtId="0" fontId="23" fillId="13" borderId="26" xfId="0" applyFont="1" applyFill="1" applyBorder="1" applyAlignment="1">
      <alignment horizontal="center" vertical="center"/>
    </xf>
    <xf numFmtId="0" fontId="24" fillId="13" borderId="14" xfId="0" applyFont="1" applyFill="1" applyBorder="1" applyAlignment="1">
      <alignment horizontal="center" vertical="center"/>
    </xf>
    <xf numFmtId="0" fontId="24" fillId="13" borderId="13" xfId="0" applyFont="1" applyFill="1" applyBorder="1" applyAlignment="1">
      <alignment horizontal="center" vertical="center"/>
    </xf>
    <xf numFmtId="0" fontId="24" fillId="13" borderId="26" xfId="0" applyFont="1" applyFill="1" applyBorder="1" applyAlignment="1">
      <alignment horizontal="center" vertical="center"/>
    </xf>
    <xf numFmtId="0" fontId="25" fillId="13" borderId="14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0" fontId="25" fillId="13" borderId="26" xfId="0" applyFont="1" applyFill="1" applyBorder="1" applyAlignment="1">
      <alignment horizontal="center" vertical="center"/>
    </xf>
    <xf numFmtId="0" fontId="26" fillId="13" borderId="14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0" fontId="26" fillId="13" borderId="26" xfId="0" applyFont="1" applyFill="1" applyBorder="1" applyAlignment="1">
      <alignment horizontal="center" vertical="center"/>
    </xf>
    <xf numFmtId="0" fontId="26" fillId="13" borderId="19" xfId="0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/>
    </xf>
    <xf numFmtId="0" fontId="26" fillId="13" borderId="27" xfId="0" applyFont="1" applyFill="1" applyBorder="1" applyAlignment="1">
      <alignment horizontal="center" vertical="center"/>
    </xf>
    <xf numFmtId="0" fontId="0" fillId="0" borderId="5" xfId="0" applyBorder="1"/>
    <xf numFmtId="0" fontId="0" fillId="14" borderId="40" xfId="0" applyFill="1" applyBorder="1"/>
    <xf numFmtId="0" fontId="0" fillId="14" borderId="43" xfId="0" applyFill="1" applyBorder="1"/>
    <xf numFmtId="0" fontId="0" fillId="14" borderId="41" xfId="0" applyFill="1" applyBorder="1"/>
    <xf numFmtId="0" fontId="19" fillId="14" borderId="29" xfId="0" applyFont="1" applyFill="1" applyBorder="1" applyAlignment="1">
      <alignment horizontal="center"/>
    </xf>
    <xf numFmtId="0" fontId="0" fillId="14" borderId="44" xfId="0" applyFill="1" applyBorder="1"/>
    <xf numFmtId="0" fontId="20" fillId="14" borderId="29" xfId="0" applyFont="1" applyFill="1" applyBorder="1" applyAlignment="1">
      <alignment horizontal="center"/>
    </xf>
    <xf numFmtId="0" fontId="21" fillId="14" borderId="29" xfId="0" applyFont="1" applyFill="1" applyBorder="1" applyAlignment="1">
      <alignment horizontal="center"/>
    </xf>
    <xf numFmtId="0" fontId="0" fillId="14" borderId="42" xfId="0" applyFill="1" applyBorder="1"/>
    <xf numFmtId="0" fontId="22" fillId="14" borderId="39" xfId="0" applyFont="1" applyFill="1" applyBorder="1" applyAlignment="1">
      <alignment horizontal="center"/>
    </xf>
    <xf numFmtId="0" fontId="0" fillId="14" borderId="45" xfId="0" applyFill="1" applyBorder="1"/>
    <xf numFmtId="9" fontId="14" fillId="9" borderId="9" xfId="1" applyFont="1" applyFill="1" applyBorder="1" applyAlignment="1">
      <alignment horizontal="center" vertical="center" indent="1"/>
    </xf>
    <xf numFmtId="9" fontId="14" fillId="9" borderId="11" xfId="1" applyFont="1" applyFill="1" applyBorder="1" applyAlignment="1">
      <alignment horizontal="center" vertical="center" indent="1"/>
    </xf>
    <xf numFmtId="9" fontId="15" fillId="10" borderId="11" xfId="1" applyFont="1" applyFill="1" applyBorder="1" applyAlignment="1">
      <alignment horizontal="center" vertical="center" indent="1"/>
    </xf>
    <xf numFmtId="9" fontId="16" fillId="11" borderId="11" xfId="1" applyFont="1" applyFill="1" applyBorder="1" applyAlignment="1">
      <alignment horizontal="center" vertical="center" indent="1"/>
    </xf>
    <xf numFmtId="9" fontId="17" fillId="12" borderId="11" xfId="1" applyFont="1" applyFill="1" applyBorder="1" applyAlignment="1">
      <alignment horizontal="center" vertical="center" indent="1"/>
    </xf>
    <xf numFmtId="9" fontId="17" fillId="12" borderId="11" xfId="0" applyNumberFormat="1" applyFont="1" applyFill="1" applyBorder="1" applyAlignment="1">
      <alignment horizontal="center" vertical="center" indent="1"/>
    </xf>
    <xf numFmtId="9" fontId="17" fillId="12" borderId="16" xfId="0" applyNumberFormat="1" applyFont="1" applyFill="1" applyBorder="1" applyAlignment="1">
      <alignment horizontal="center" vertical="center" indent="1"/>
    </xf>
    <xf numFmtId="0" fontId="7" fillId="15" borderId="6" xfId="0" applyFont="1" applyFill="1" applyBorder="1" applyAlignment="1">
      <alignment horizontal="right"/>
    </xf>
    <xf numFmtId="0" fontId="29" fillId="15" borderId="49" xfId="0" applyFont="1" applyFill="1" applyBorder="1" applyAlignment="1">
      <alignment horizontal="center" vertical="center"/>
    </xf>
    <xf numFmtId="0" fontId="7" fillId="15" borderId="50" xfId="0" applyFont="1" applyFill="1" applyBorder="1" applyAlignment="1">
      <alignment horizontal="right" vertical="center"/>
    </xf>
    <xf numFmtId="0" fontId="0" fillId="2" borderId="15" xfId="0" applyFill="1" applyBorder="1" applyAlignment="1">
      <alignment horizontal="left"/>
    </xf>
    <xf numFmtId="164" fontId="27" fillId="8" borderId="29" xfId="0" applyNumberFormat="1" applyFont="1" applyFill="1" applyBorder="1" applyAlignment="1">
      <alignment horizontal="left"/>
    </xf>
    <xf numFmtId="0" fontId="18" fillId="14" borderId="38" xfId="0" applyFont="1" applyFill="1" applyBorder="1" applyAlignment="1">
      <alignment horizontal="left"/>
    </xf>
    <xf numFmtId="0" fontId="34" fillId="20" borderId="0" xfId="0" applyFont="1" applyFill="1" applyAlignment="1">
      <alignment horizontal="center" vertical="center"/>
    </xf>
    <xf numFmtId="0" fontId="41" fillId="20" borderId="0" xfId="0" applyFont="1" applyFill="1" applyAlignment="1">
      <alignment horizontal="center" vertical="center"/>
    </xf>
    <xf numFmtId="0" fontId="0" fillId="20" borderId="0" xfId="0" applyFill="1"/>
    <xf numFmtId="0" fontId="31" fillId="19" borderId="67" xfId="0" applyFont="1" applyFill="1" applyBorder="1" applyAlignment="1">
      <alignment horizontal="center" vertical="center"/>
    </xf>
    <xf numFmtId="0" fontId="33" fillId="19" borderId="70" xfId="0" applyFont="1" applyFill="1" applyBorder="1" applyAlignment="1">
      <alignment horizontal="center" vertical="center"/>
    </xf>
    <xf numFmtId="0" fontId="31" fillId="19" borderId="70" xfId="0" applyFont="1" applyFill="1" applyBorder="1" applyAlignment="1">
      <alignment horizontal="center" vertical="center"/>
    </xf>
    <xf numFmtId="0" fontId="0" fillId="18" borderId="0" xfId="0" applyFill="1"/>
    <xf numFmtId="0" fontId="32" fillId="18" borderId="0" xfId="0" applyFont="1" applyFill="1" applyAlignment="1">
      <alignment horizontal="left" vertical="center" indent="1"/>
    </xf>
    <xf numFmtId="0" fontId="42" fillId="0" borderId="52" xfId="0" applyFont="1" applyBorder="1" applyAlignment="1">
      <alignment horizontal="center" vertical="center"/>
    </xf>
    <xf numFmtId="0" fontId="42" fillId="0" borderId="53" xfId="0" applyFont="1" applyBorder="1" applyAlignment="1">
      <alignment horizontal="center" vertical="center"/>
    </xf>
    <xf numFmtId="0" fontId="42" fillId="0" borderId="57" xfId="0" applyFont="1" applyBorder="1" applyAlignment="1">
      <alignment horizontal="center" vertical="center"/>
    </xf>
    <xf numFmtId="0" fontId="42" fillId="0" borderId="54" xfId="0" applyFont="1" applyBorder="1" applyAlignment="1">
      <alignment horizontal="center" vertical="center"/>
    </xf>
    <xf numFmtId="0" fontId="42" fillId="0" borderId="55" xfId="0" applyFont="1" applyBorder="1" applyAlignment="1">
      <alignment horizontal="center" vertical="center"/>
    </xf>
    <xf numFmtId="0" fontId="42" fillId="0" borderId="58" xfId="0" applyFont="1" applyBorder="1" applyAlignment="1">
      <alignment horizontal="center" vertical="center"/>
    </xf>
    <xf numFmtId="0" fontId="42" fillId="0" borderId="59" xfId="0" applyFont="1" applyBorder="1" applyAlignment="1">
      <alignment horizontal="center" vertical="center"/>
    </xf>
    <xf numFmtId="0" fontId="42" fillId="0" borderId="60" xfId="0" applyFont="1" applyBorder="1" applyAlignment="1">
      <alignment horizontal="center" vertical="center"/>
    </xf>
    <xf numFmtId="0" fontId="42" fillId="0" borderId="61" xfId="0" applyFont="1" applyBorder="1" applyAlignment="1">
      <alignment horizontal="center" vertical="center"/>
    </xf>
    <xf numFmtId="0" fontId="42" fillId="0" borderId="71" xfId="0" applyFont="1" applyBorder="1" applyAlignment="1">
      <alignment horizontal="center" vertical="center"/>
    </xf>
    <xf numFmtId="0" fontId="42" fillId="0" borderId="72" xfId="0" applyFont="1" applyBorder="1" applyAlignment="1">
      <alignment horizontal="center" vertical="center"/>
    </xf>
    <xf numFmtId="0" fontId="42" fillId="0" borderId="56" xfId="0" applyFont="1" applyBorder="1" applyAlignment="1">
      <alignment horizontal="center" vertical="center"/>
    </xf>
    <xf numFmtId="166" fontId="6" fillId="4" borderId="0" xfId="0" applyNumberFormat="1" applyFont="1" applyFill="1" applyAlignment="1">
      <alignment horizontal="center"/>
    </xf>
    <xf numFmtId="166" fontId="6" fillId="4" borderId="4" xfId="0" applyNumberFormat="1" applyFont="1" applyFill="1" applyBorder="1" applyAlignment="1">
      <alignment horizontal="center"/>
    </xf>
    <xf numFmtId="165" fontId="5" fillId="5" borderId="2" xfId="0" applyNumberFormat="1" applyFont="1" applyFill="1" applyBorder="1" applyAlignment="1">
      <alignment horizontal="center"/>
    </xf>
    <xf numFmtId="165" fontId="5" fillId="5" borderId="3" xfId="0" applyNumberFormat="1" applyFont="1" applyFill="1" applyBorder="1" applyAlignment="1">
      <alignment horizontal="center"/>
    </xf>
    <xf numFmtId="0" fontId="28" fillId="8" borderId="7" xfId="0" applyFont="1" applyFill="1" applyBorder="1" applyAlignment="1">
      <alignment horizontal="left" vertical="center"/>
    </xf>
    <xf numFmtId="0" fontId="27" fillId="8" borderId="28" xfId="0" applyFont="1" applyFill="1" applyBorder="1" applyAlignment="1">
      <alignment horizontal="left" vertical="center"/>
    </xf>
    <xf numFmtId="0" fontId="27" fillId="8" borderId="8" xfId="0" applyFont="1" applyFill="1" applyBorder="1" applyAlignment="1">
      <alignment horizontal="left" vertical="center"/>
    </xf>
    <xf numFmtId="165" fontId="5" fillId="5" borderId="1" xfId="0" applyNumberFormat="1" applyFont="1" applyFill="1" applyBorder="1" applyAlignment="1">
      <alignment horizontal="center"/>
    </xf>
    <xf numFmtId="0" fontId="30" fillId="16" borderId="30" xfId="0" applyFont="1" applyFill="1" applyBorder="1" applyAlignment="1">
      <alignment horizontal="left" vertical="top" wrapText="1"/>
    </xf>
    <xf numFmtId="0" fontId="30" fillId="16" borderId="0" xfId="0" applyFont="1" applyFill="1" applyAlignment="1">
      <alignment horizontal="left" vertical="top" wrapText="1"/>
    </xf>
    <xf numFmtId="0" fontId="30" fillId="16" borderId="48" xfId="0" applyFont="1" applyFill="1" applyBorder="1" applyAlignment="1">
      <alignment horizontal="left" vertical="top" wrapText="1"/>
    </xf>
    <xf numFmtId="0" fontId="30" fillId="16" borderId="46" xfId="0" applyFont="1" applyFill="1" applyBorder="1" applyAlignment="1">
      <alignment horizontal="left" vertical="top" wrapText="1"/>
    </xf>
    <xf numFmtId="0" fontId="30" fillId="16" borderId="18" xfId="0" applyFont="1" applyFill="1" applyBorder="1" applyAlignment="1">
      <alignment horizontal="left" vertical="top" wrapText="1"/>
    </xf>
    <xf numFmtId="0" fontId="30" fillId="16" borderId="49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0" fillId="2" borderId="21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0" xfId="0" applyFill="1" applyAlignment="1">
      <alignment horizontal="left"/>
    </xf>
    <xf numFmtId="0" fontId="0" fillId="2" borderId="48" xfId="0" applyFill="1" applyBorder="1" applyAlignment="1">
      <alignment horizontal="left"/>
    </xf>
    <xf numFmtId="0" fontId="33" fillId="19" borderId="68" xfId="0" applyFont="1" applyFill="1" applyBorder="1" applyAlignment="1">
      <alignment horizontal="right" vertical="center" indent="1"/>
    </xf>
    <xf numFmtId="0" fontId="33" fillId="19" borderId="69" xfId="0" applyFont="1" applyFill="1" applyBorder="1" applyAlignment="1">
      <alignment horizontal="right" vertical="center" indent="1"/>
    </xf>
    <xf numFmtId="0" fontId="31" fillId="19" borderId="68" xfId="0" applyFont="1" applyFill="1" applyBorder="1" applyAlignment="1">
      <alignment horizontal="right" vertical="center" indent="1"/>
    </xf>
    <xf numFmtId="0" fontId="31" fillId="19" borderId="69" xfId="0" applyFont="1" applyFill="1" applyBorder="1" applyAlignment="1">
      <alignment horizontal="right" vertical="center" indent="1"/>
    </xf>
    <xf numFmtId="0" fontId="31" fillId="21" borderId="6" xfId="0" applyFont="1" applyFill="1" applyBorder="1" applyAlignment="1">
      <alignment horizontal="center" vertical="center" textRotation="90"/>
    </xf>
    <xf numFmtId="0" fontId="31" fillId="19" borderId="65" xfId="0" applyFont="1" applyFill="1" applyBorder="1" applyAlignment="1">
      <alignment horizontal="center" vertical="center"/>
    </xf>
    <xf numFmtId="0" fontId="31" fillId="19" borderId="66" xfId="0" applyFont="1" applyFill="1" applyBorder="1" applyAlignment="1">
      <alignment horizontal="center" vertical="center"/>
    </xf>
    <xf numFmtId="0" fontId="36" fillId="17" borderId="0" xfId="0" applyFont="1" applyFill="1" applyAlignment="1">
      <alignment horizontal="center" vertical="center"/>
    </xf>
    <xf numFmtId="0" fontId="32" fillId="17" borderId="0" xfId="0" applyFont="1" applyFill="1" applyAlignment="1">
      <alignment horizontal="center" vertical="center"/>
    </xf>
    <xf numFmtId="0" fontId="0" fillId="0" borderId="62" xfId="0" applyBorder="1" applyAlignment="1">
      <alignment horizontal="right" textRotation="90"/>
    </xf>
    <xf numFmtId="0" fontId="0" fillId="0" borderId="63" xfId="0" applyBorder="1" applyAlignment="1">
      <alignment horizontal="right" textRotation="90"/>
    </xf>
    <xf numFmtId="0" fontId="0" fillId="0" borderId="64" xfId="0" applyBorder="1" applyAlignment="1">
      <alignment horizontal="right" textRotation="90"/>
    </xf>
    <xf numFmtId="0" fontId="31" fillId="21" borderId="8" xfId="0" applyFont="1" applyFill="1" applyBorder="1" applyAlignment="1">
      <alignment horizontal="center" vertical="center" textRotation="90"/>
    </xf>
    <xf numFmtId="0" fontId="31" fillId="21" borderId="29" xfId="0" applyFont="1" applyFill="1" applyBorder="1" applyAlignment="1">
      <alignment horizontal="center" vertical="center" textRotation="90"/>
    </xf>
    <xf numFmtId="0" fontId="31" fillId="21" borderId="51" xfId="0" applyFont="1" applyFill="1" applyBorder="1" applyAlignment="1">
      <alignment horizontal="center" vertical="center" textRotation="90"/>
    </xf>
    <xf numFmtId="0" fontId="35" fillId="20" borderId="0" xfId="0" applyFont="1" applyFill="1" applyAlignment="1">
      <alignment horizontal="center" vertical="center"/>
    </xf>
    <xf numFmtId="0" fontId="0" fillId="20" borderId="0" xfId="0" applyFill="1" applyAlignment="1">
      <alignment horizontal="center"/>
    </xf>
    <xf numFmtId="0" fontId="41" fillId="18" borderId="0" xfId="0" applyFont="1" applyFill="1" applyAlignment="1">
      <alignment horizontal="center" vertical="center"/>
    </xf>
    <xf numFmtId="0" fontId="34" fillId="20" borderId="0" xfId="0" applyFont="1" applyFill="1" applyAlignment="1">
      <alignment vertical="center"/>
    </xf>
    <xf numFmtId="0" fontId="0" fillId="18" borderId="0" xfId="0" applyFill="1" applyAlignment="1">
      <alignment horizontal="center"/>
    </xf>
    <xf numFmtId="0" fontId="0" fillId="22" borderId="0" xfId="0" applyFont="1" applyFill="1" applyBorder="1" applyAlignment="1">
      <alignment vertical="top" wrapText="1"/>
    </xf>
    <xf numFmtId="0" fontId="0" fillId="22" borderId="74" xfId="0" applyFont="1" applyFill="1" applyBorder="1" applyAlignment="1">
      <alignment vertical="top" wrapText="1"/>
    </xf>
    <xf numFmtId="0" fontId="0" fillId="22" borderId="73" xfId="0" applyFont="1" applyFill="1" applyBorder="1" applyAlignment="1">
      <alignment vertical="top" wrapText="1"/>
    </xf>
    <xf numFmtId="0" fontId="0" fillId="22" borderId="75" xfId="0" applyFont="1" applyFill="1" applyBorder="1" applyAlignment="1">
      <alignment vertical="top" wrapText="1"/>
    </xf>
    <xf numFmtId="0" fontId="0" fillId="22" borderId="76" xfId="0" applyFont="1" applyFill="1" applyBorder="1" applyAlignment="1">
      <alignment vertical="top" wrapText="1"/>
    </xf>
    <xf numFmtId="0" fontId="0" fillId="22" borderId="77" xfId="0" applyFont="1" applyFill="1" applyBorder="1" applyAlignment="1">
      <alignment vertical="top" wrapText="1"/>
    </xf>
    <xf numFmtId="0" fontId="6" fillId="2" borderId="21" xfId="0" applyFont="1" applyFill="1" applyBorder="1" applyAlignment="1">
      <alignment horizontal="left" vertical="center"/>
    </xf>
    <xf numFmtId="0" fontId="6" fillId="2" borderId="15" xfId="0" applyFont="1" applyFill="1" applyBorder="1" applyAlignment="1">
      <alignment horizontal="left" vertical="center"/>
    </xf>
    <xf numFmtId="0" fontId="6" fillId="2" borderId="47" xfId="0" applyFont="1" applyFill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12">
    <dxf>
      <fill>
        <patternFill>
          <bgColor rgb="FFFFFF89"/>
        </patternFill>
      </fill>
    </dxf>
    <dxf>
      <fill>
        <patternFill>
          <bgColor theme="7" tint="0.79998168889431442"/>
        </patternFill>
      </fill>
    </dxf>
    <dxf>
      <fill>
        <patternFill>
          <bgColor rgb="FFFFD653"/>
        </patternFill>
      </fill>
    </dxf>
    <dxf>
      <fill>
        <patternFill>
          <bgColor theme="9" tint="0.59996337778862885"/>
        </patternFill>
      </fill>
    </dxf>
    <dxf>
      <fill>
        <patternFill>
          <bgColor rgb="FFFFFF89"/>
        </patternFill>
      </fill>
    </dxf>
    <dxf>
      <fill>
        <patternFill>
          <bgColor theme="7" tint="0.79998168889431442"/>
        </patternFill>
      </fill>
    </dxf>
    <dxf>
      <fill>
        <patternFill>
          <bgColor rgb="FFFFD653"/>
        </patternFill>
      </fill>
    </dxf>
    <dxf>
      <fill>
        <patternFill>
          <bgColor theme="9" tint="0.59996337778862885"/>
        </patternFill>
      </fill>
    </dxf>
    <dxf>
      <border>
        <left style="thin">
          <color auto="1"/>
        </left>
        <vertical/>
        <horizontal/>
      </border>
    </dxf>
    <dxf>
      <fill>
        <patternFill>
          <bgColor rgb="FF99CCFF"/>
        </patternFill>
      </fill>
    </dxf>
    <dxf>
      <fill>
        <patternFill>
          <bgColor rgb="FF5DAEFF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D653"/>
      <color rgb="FFFFFF89"/>
      <color rgb="FFFFD13F"/>
      <color rgb="FFC5DCF3"/>
      <color rgb="FFFFFF75"/>
      <color rgb="FF99DC7E"/>
      <color rgb="FFA0E8AA"/>
      <color rgb="FF32CE48"/>
      <color rgb="FF27A138"/>
      <color rgb="FF053C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ED8A0-1950-4B36-ACCF-F2686D23D643}">
  <dimension ref="B1:AR30"/>
  <sheetViews>
    <sheetView showGridLines="0" tabSelected="1" zoomScale="95" workbookViewId="0">
      <pane xSplit="9" ySplit="6" topLeftCell="J7" activePane="bottomRight" state="frozen"/>
      <selection pane="topRight" activeCell="J1" sqref="J1"/>
      <selection pane="bottomLeft" activeCell="A8" sqref="A8"/>
      <selection pane="bottomRight" activeCell="B1" sqref="B1:I1"/>
    </sheetView>
  </sheetViews>
  <sheetFormatPr defaultRowHeight="14.5"/>
  <cols>
    <col min="1" max="1" width="2.81640625" customWidth="1"/>
    <col min="2" max="2" width="5.7265625" customWidth="1"/>
    <col min="3" max="3" width="41.81640625" customWidth="1"/>
    <col min="4" max="4" width="22.81640625" customWidth="1"/>
    <col min="5" max="6" width="16.1796875" customWidth="1"/>
    <col min="7" max="7" width="8.54296875" customWidth="1"/>
    <col min="8" max="8" width="16.1796875" customWidth="1"/>
    <col min="9" max="9" width="13.54296875" bestFit="1" customWidth="1"/>
    <col min="10" max="44" width="4.7265625" customWidth="1"/>
  </cols>
  <sheetData>
    <row r="1" spans="2:44" ht="39.5">
      <c r="B1" s="118" t="s">
        <v>36</v>
      </c>
      <c r="C1" s="118"/>
      <c r="D1" s="118"/>
      <c r="E1" s="118"/>
      <c r="F1" s="118"/>
      <c r="G1" s="118"/>
      <c r="H1" s="118"/>
      <c r="I1" s="118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</row>
    <row r="2" spans="2:44" ht="17" thickBot="1">
      <c r="B2" s="119" t="s">
        <v>37</v>
      </c>
      <c r="C2" s="119"/>
      <c r="D2" s="119"/>
      <c r="E2" s="119"/>
      <c r="F2" s="119"/>
      <c r="G2" s="119"/>
      <c r="H2" s="119"/>
      <c r="I2" s="119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</row>
    <row r="3" spans="2:44" ht="18.5">
      <c r="B3" s="120"/>
      <c r="C3" s="121"/>
      <c r="D3" s="121"/>
      <c r="E3" s="121"/>
      <c r="F3" s="121"/>
      <c r="G3" s="121"/>
      <c r="H3" s="121"/>
      <c r="I3" s="121"/>
      <c r="J3" s="104">
        <f ca="1">K5</f>
        <v>46153</v>
      </c>
      <c r="K3" s="104"/>
      <c r="L3" s="104"/>
      <c r="M3" s="104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</row>
    <row r="4" spans="2:44" ht="15" thickBot="1">
      <c r="B4" s="122"/>
      <c r="C4" s="78" t="s">
        <v>0</v>
      </c>
      <c r="D4" s="82">
        <f ca="1">IF(MONTH(TODAY()-WEEKDAY(TODAY(),2)+1)&lt;MONTH(TODAY()),(TODAY()-28-DAY(TODAY())+7)-WEEKDAY((TODAY()-DAY(TODAY())+7),2)+1,(TODAY()-DAY(TODAY())+7)-WEEKDAY((TODAY()-DAY(TODAY())+7),2)+1)</f>
        <v>46146</v>
      </c>
      <c r="E4" s="124"/>
      <c r="F4" s="124"/>
      <c r="G4" s="124"/>
      <c r="H4" s="124"/>
      <c r="I4" s="125"/>
      <c r="J4" s="106">
        <f ca="1">K5</f>
        <v>46153</v>
      </c>
      <c r="K4" s="106"/>
      <c r="L4" s="106"/>
      <c r="M4" s="106"/>
      <c r="N4" s="111">
        <f ca="1">O5</f>
        <v>46181</v>
      </c>
      <c r="O4" s="106"/>
      <c r="P4" s="106"/>
      <c r="Q4" s="106"/>
      <c r="R4" s="106"/>
      <c r="S4" s="106">
        <f ca="1">T5</f>
        <v>46216</v>
      </c>
      <c r="T4" s="106"/>
      <c r="U4" s="106"/>
      <c r="V4" s="106"/>
      <c r="W4" s="106">
        <f ca="1">X5</f>
        <v>46244</v>
      </c>
      <c r="X4" s="106"/>
      <c r="Y4" s="106"/>
      <c r="Z4" s="106"/>
      <c r="AA4" s="106"/>
      <c r="AB4" s="106">
        <f ca="1">AC5</f>
        <v>46279</v>
      </c>
      <c r="AC4" s="106"/>
      <c r="AD4" s="106"/>
      <c r="AE4" s="106"/>
      <c r="AF4" s="106">
        <f ca="1">AG5</f>
        <v>46307</v>
      </c>
      <c r="AG4" s="106"/>
      <c r="AH4" s="106"/>
      <c r="AI4" s="106"/>
      <c r="AJ4" s="106">
        <f ca="1">AK5</f>
        <v>46335</v>
      </c>
      <c r="AK4" s="106"/>
      <c r="AL4" s="106"/>
      <c r="AM4" s="106"/>
      <c r="AN4" s="106"/>
      <c r="AO4" s="106">
        <f ca="1">AP5</f>
        <v>46370</v>
      </c>
      <c r="AP4" s="106"/>
      <c r="AQ4" s="106"/>
      <c r="AR4" s="107"/>
    </row>
    <row r="5" spans="2:44" ht="32" thickBot="1">
      <c r="B5" s="123"/>
      <c r="C5" s="80" t="s">
        <v>1</v>
      </c>
      <c r="D5" s="108" t="s">
        <v>15</v>
      </c>
      <c r="E5" s="109"/>
      <c r="F5" s="109"/>
      <c r="G5" s="110"/>
      <c r="H5" s="81"/>
      <c r="I5" s="79" t="s">
        <v>2</v>
      </c>
      <c r="J5" s="41">
        <f ca="1">D4</f>
        <v>46146</v>
      </c>
      <c r="K5" s="42">
        <f ca="1">J5+7</f>
        <v>46153</v>
      </c>
      <c r="L5" s="42">
        <f t="shared" ref="L5:AR5" ca="1" si="0">K5+7</f>
        <v>46160</v>
      </c>
      <c r="M5" s="42">
        <f t="shared" ca="1" si="0"/>
        <v>46167</v>
      </c>
      <c r="N5" s="42">
        <f t="shared" ca="1" si="0"/>
        <v>46174</v>
      </c>
      <c r="O5" s="42">
        <f t="shared" ca="1" si="0"/>
        <v>46181</v>
      </c>
      <c r="P5" s="42">
        <f t="shared" ca="1" si="0"/>
        <v>46188</v>
      </c>
      <c r="Q5" s="42">
        <f t="shared" ca="1" si="0"/>
        <v>46195</v>
      </c>
      <c r="R5" s="42">
        <f t="shared" ca="1" si="0"/>
        <v>46202</v>
      </c>
      <c r="S5" s="42">
        <f t="shared" ca="1" si="0"/>
        <v>46209</v>
      </c>
      <c r="T5" s="42">
        <f t="shared" ca="1" si="0"/>
        <v>46216</v>
      </c>
      <c r="U5" s="42">
        <f t="shared" ca="1" si="0"/>
        <v>46223</v>
      </c>
      <c r="V5" s="42">
        <f t="shared" ca="1" si="0"/>
        <v>46230</v>
      </c>
      <c r="W5" s="42">
        <f t="shared" ca="1" si="0"/>
        <v>46237</v>
      </c>
      <c r="X5" s="42">
        <f t="shared" ca="1" si="0"/>
        <v>46244</v>
      </c>
      <c r="Y5" s="42">
        <f t="shared" ca="1" si="0"/>
        <v>46251</v>
      </c>
      <c r="Z5" s="42">
        <f t="shared" ca="1" si="0"/>
        <v>46258</v>
      </c>
      <c r="AA5" s="42">
        <f t="shared" ca="1" si="0"/>
        <v>46265</v>
      </c>
      <c r="AB5" s="42">
        <f t="shared" ca="1" si="0"/>
        <v>46272</v>
      </c>
      <c r="AC5" s="42">
        <f t="shared" ca="1" si="0"/>
        <v>46279</v>
      </c>
      <c r="AD5" s="42">
        <f t="shared" ca="1" si="0"/>
        <v>46286</v>
      </c>
      <c r="AE5" s="42">
        <f t="shared" ca="1" si="0"/>
        <v>46293</v>
      </c>
      <c r="AF5" s="42">
        <f t="shared" ca="1" si="0"/>
        <v>46300</v>
      </c>
      <c r="AG5" s="42">
        <f t="shared" ca="1" si="0"/>
        <v>46307</v>
      </c>
      <c r="AH5" s="42">
        <f t="shared" ca="1" si="0"/>
        <v>46314</v>
      </c>
      <c r="AI5" s="42">
        <f t="shared" ca="1" si="0"/>
        <v>46321</v>
      </c>
      <c r="AJ5" s="42">
        <f t="shared" ca="1" si="0"/>
        <v>46328</v>
      </c>
      <c r="AK5" s="42">
        <f t="shared" ca="1" si="0"/>
        <v>46335</v>
      </c>
      <c r="AL5" s="42">
        <f t="shared" ca="1" si="0"/>
        <v>46342</v>
      </c>
      <c r="AM5" s="42">
        <f t="shared" ca="1" si="0"/>
        <v>46349</v>
      </c>
      <c r="AN5" s="42">
        <f t="shared" ca="1" si="0"/>
        <v>46356</v>
      </c>
      <c r="AO5" s="42">
        <f t="shared" ca="1" si="0"/>
        <v>46363</v>
      </c>
      <c r="AP5" s="42">
        <f t="shared" ca="1" si="0"/>
        <v>46370</v>
      </c>
      <c r="AQ5" s="42">
        <f t="shared" ca="1" si="0"/>
        <v>46377</v>
      </c>
      <c r="AR5" s="43">
        <f t="shared" ca="1" si="0"/>
        <v>46384</v>
      </c>
    </row>
    <row r="6" spans="2:44" ht="17" thickBot="1">
      <c r="B6" s="33" t="s">
        <v>3</v>
      </c>
      <c r="C6" s="34" t="s">
        <v>4</v>
      </c>
      <c r="D6" s="35" t="s">
        <v>5</v>
      </c>
      <c r="E6" s="35" t="s">
        <v>6</v>
      </c>
      <c r="F6" s="36" t="s">
        <v>7</v>
      </c>
      <c r="G6" s="36" t="s">
        <v>8</v>
      </c>
      <c r="H6" s="36" t="s">
        <v>9</v>
      </c>
      <c r="I6" s="37" t="s">
        <v>10</v>
      </c>
      <c r="J6" s="38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40"/>
    </row>
    <row r="7" spans="2:44" ht="20">
      <c r="B7" s="27">
        <v>1</v>
      </c>
      <c r="C7" s="1" t="s">
        <v>16</v>
      </c>
      <c r="D7" s="4" t="s">
        <v>17</v>
      </c>
      <c r="E7" s="7">
        <v>46146</v>
      </c>
      <c r="F7" s="8">
        <v>46171</v>
      </c>
      <c r="G7" s="13">
        <f>IF(OR(E7="",F7=""),"", NETWORKDAYS(E7, F7))</f>
        <v>20</v>
      </c>
      <c r="H7" s="16" t="s">
        <v>13</v>
      </c>
      <c r="I7" s="71">
        <v>1</v>
      </c>
      <c r="J7" s="44" t="str">
        <f ca="1">IF(J$5=($F7-WEEKDAY($F7,2)+1),"u","")</f>
        <v/>
      </c>
      <c r="K7" s="45" t="str">
        <f t="shared" ref="K7:AR14" ca="1" si="1">IF(K$5=($F7-WEEKDAY($F7,2)+1),"u","")</f>
        <v/>
      </c>
      <c r="L7" s="45" t="str">
        <f t="shared" ca="1" si="1"/>
        <v/>
      </c>
      <c r="M7" s="45" t="str">
        <f t="shared" ca="1" si="1"/>
        <v>u</v>
      </c>
      <c r="N7" s="45" t="str">
        <f t="shared" ca="1" si="1"/>
        <v/>
      </c>
      <c r="O7" s="45" t="str">
        <f t="shared" ca="1" si="1"/>
        <v/>
      </c>
      <c r="P7" s="45" t="str">
        <f t="shared" ca="1" si="1"/>
        <v/>
      </c>
      <c r="Q7" s="45" t="str">
        <f t="shared" ca="1" si="1"/>
        <v/>
      </c>
      <c r="R7" s="45" t="str">
        <f t="shared" ca="1" si="1"/>
        <v/>
      </c>
      <c r="S7" s="45" t="str">
        <f t="shared" ca="1" si="1"/>
        <v/>
      </c>
      <c r="T7" s="45" t="str">
        <f t="shared" ca="1" si="1"/>
        <v/>
      </c>
      <c r="U7" s="45" t="str">
        <f t="shared" ca="1" si="1"/>
        <v/>
      </c>
      <c r="V7" s="45" t="str">
        <f t="shared" ca="1" si="1"/>
        <v/>
      </c>
      <c r="W7" s="45" t="str">
        <f t="shared" ca="1" si="1"/>
        <v/>
      </c>
      <c r="X7" s="45" t="str">
        <f t="shared" ca="1" si="1"/>
        <v/>
      </c>
      <c r="Y7" s="45" t="str">
        <f t="shared" ca="1" si="1"/>
        <v/>
      </c>
      <c r="Z7" s="45" t="str">
        <f t="shared" ca="1" si="1"/>
        <v/>
      </c>
      <c r="AA7" s="45" t="str">
        <f t="shared" ca="1" si="1"/>
        <v/>
      </c>
      <c r="AB7" s="45" t="str">
        <f t="shared" ca="1" si="1"/>
        <v/>
      </c>
      <c r="AC7" s="45" t="str">
        <f t="shared" ca="1" si="1"/>
        <v/>
      </c>
      <c r="AD7" s="45" t="str">
        <f t="shared" ca="1" si="1"/>
        <v/>
      </c>
      <c r="AE7" s="45" t="str">
        <f t="shared" ca="1" si="1"/>
        <v/>
      </c>
      <c r="AF7" s="45" t="str">
        <f t="shared" ca="1" si="1"/>
        <v/>
      </c>
      <c r="AG7" s="45" t="str">
        <f t="shared" ca="1" si="1"/>
        <v/>
      </c>
      <c r="AH7" s="45" t="str">
        <f t="shared" ca="1" si="1"/>
        <v/>
      </c>
      <c r="AI7" s="45" t="str">
        <f t="shared" ca="1" si="1"/>
        <v/>
      </c>
      <c r="AJ7" s="45" t="str">
        <f t="shared" ca="1" si="1"/>
        <v/>
      </c>
      <c r="AK7" s="45" t="str">
        <f t="shared" ca="1" si="1"/>
        <v/>
      </c>
      <c r="AL7" s="45" t="str">
        <f t="shared" ca="1" si="1"/>
        <v/>
      </c>
      <c r="AM7" s="45" t="str">
        <f t="shared" ca="1" si="1"/>
        <v/>
      </c>
      <c r="AN7" s="45" t="str">
        <f t="shared" ca="1" si="1"/>
        <v/>
      </c>
      <c r="AO7" s="45" t="str">
        <f t="shared" ca="1" si="1"/>
        <v/>
      </c>
      <c r="AP7" s="45" t="str">
        <f t="shared" ca="1" si="1"/>
        <v/>
      </c>
      <c r="AQ7" s="45" t="str">
        <f t="shared" ca="1" si="1"/>
        <v/>
      </c>
      <c r="AR7" s="46" t="str">
        <f t="shared" ca="1" si="1"/>
        <v/>
      </c>
    </row>
    <row r="8" spans="2:44" ht="20">
      <c r="B8" s="28">
        <v>2</v>
      </c>
      <c r="C8" s="2" t="s">
        <v>18</v>
      </c>
      <c r="D8" s="5" t="s">
        <v>19</v>
      </c>
      <c r="E8" s="9">
        <v>46174</v>
      </c>
      <c r="F8" s="10">
        <v>46199</v>
      </c>
      <c r="G8" s="14">
        <f t="shared" ref="G8:G13" si="2">IF(OR(E8="",F8=""),"", NETWORKDAYS(E8, F8))</f>
        <v>20</v>
      </c>
      <c r="H8" s="17" t="s">
        <v>13</v>
      </c>
      <c r="I8" s="72">
        <v>1</v>
      </c>
      <c r="J8" s="44" t="str">
        <f t="shared" ref="J8:Y16" ca="1" si="3">IF(J$5=($F8-WEEKDAY($F8,2)+1),"u","")</f>
        <v/>
      </c>
      <c r="K8" s="45" t="str">
        <f t="shared" ca="1" si="3"/>
        <v/>
      </c>
      <c r="L8" s="45" t="str">
        <f t="shared" ca="1" si="3"/>
        <v/>
      </c>
      <c r="M8" s="45" t="str">
        <f t="shared" ca="1" si="3"/>
        <v/>
      </c>
      <c r="N8" s="45" t="str">
        <f t="shared" ca="1" si="3"/>
        <v/>
      </c>
      <c r="O8" s="45" t="str">
        <f t="shared" ca="1" si="3"/>
        <v/>
      </c>
      <c r="P8" s="45" t="str">
        <f t="shared" ca="1" si="3"/>
        <v/>
      </c>
      <c r="Q8" s="45" t="str">
        <f t="shared" ca="1" si="3"/>
        <v>u</v>
      </c>
      <c r="R8" s="45" t="str">
        <f t="shared" ca="1" si="3"/>
        <v/>
      </c>
      <c r="S8" s="45" t="str">
        <f t="shared" ca="1" si="3"/>
        <v/>
      </c>
      <c r="T8" s="45" t="str">
        <f t="shared" ca="1" si="3"/>
        <v/>
      </c>
      <c r="U8" s="45" t="str">
        <f t="shared" ca="1" si="3"/>
        <v/>
      </c>
      <c r="V8" s="45" t="str">
        <f t="shared" ca="1" si="3"/>
        <v/>
      </c>
      <c r="W8" s="45" t="str">
        <f t="shared" ca="1" si="3"/>
        <v/>
      </c>
      <c r="X8" s="45" t="str">
        <f t="shared" ca="1" si="3"/>
        <v/>
      </c>
      <c r="Y8" s="45" t="str">
        <f t="shared" ca="1" si="3"/>
        <v/>
      </c>
      <c r="Z8" s="45" t="str">
        <f t="shared" ca="1" si="1"/>
        <v/>
      </c>
      <c r="AA8" s="45" t="str">
        <f t="shared" ca="1" si="1"/>
        <v/>
      </c>
      <c r="AB8" s="45" t="str">
        <f t="shared" ca="1" si="1"/>
        <v/>
      </c>
      <c r="AC8" s="45" t="str">
        <f t="shared" ca="1" si="1"/>
        <v/>
      </c>
      <c r="AD8" s="45" t="str">
        <f t="shared" ca="1" si="1"/>
        <v/>
      </c>
      <c r="AE8" s="45" t="str">
        <f t="shared" ca="1" si="1"/>
        <v/>
      </c>
      <c r="AF8" s="45" t="str">
        <f t="shared" ca="1" si="1"/>
        <v/>
      </c>
      <c r="AG8" s="45" t="str">
        <f t="shared" ca="1" si="1"/>
        <v/>
      </c>
      <c r="AH8" s="45" t="str">
        <f t="shared" ca="1" si="1"/>
        <v/>
      </c>
      <c r="AI8" s="45" t="str">
        <f t="shared" ca="1" si="1"/>
        <v/>
      </c>
      <c r="AJ8" s="45" t="str">
        <f t="shared" ca="1" si="1"/>
        <v/>
      </c>
      <c r="AK8" s="45" t="str">
        <f t="shared" ca="1" si="1"/>
        <v/>
      </c>
      <c r="AL8" s="45" t="str">
        <f t="shared" ca="1" si="1"/>
        <v/>
      </c>
      <c r="AM8" s="45" t="str">
        <f t="shared" ca="1" si="1"/>
        <v/>
      </c>
      <c r="AN8" s="45" t="str">
        <f t="shared" ca="1" si="1"/>
        <v/>
      </c>
      <c r="AO8" s="45" t="str">
        <f t="shared" ca="1" si="1"/>
        <v/>
      </c>
      <c r="AP8" s="45" t="str">
        <f t="shared" ca="1" si="1"/>
        <v/>
      </c>
      <c r="AQ8" s="45" t="str">
        <f t="shared" ca="1" si="1"/>
        <v/>
      </c>
      <c r="AR8" s="47" t="str">
        <f t="shared" ca="1" si="1"/>
        <v/>
      </c>
    </row>
    <row r="9" spans="2:44" ht="20">
      <c r="B9" s="29">
        <v>3</v>
      </c>
      <c r="C9" s="3" t="s">
        <v>20</v>
      </c>
      <c r="D9" s="6" t="s">
        <v>21</v>
      </c>
      <c r="E9" s="11">
        <v>46202</v>
      </c>
      <c r="F9" s="12">
        <v>46227</v>
      </c>
      <c r="G9" s="15">
        <f t="shared" si="2"/>
        <v>20</v>
      </c>
      <c r="H9" s="17" t="s">
        <v>13</v>
      </c>
      <c r="I9" s="72">
        <v>1</v>
      </c>
      <c r="J9" s="44" t="str">
        <f t="shared" ca="1" si="3"/>
        <v/>
      </c>
      <c r="K9" s="45" t="str">
        <f t="shared" ca="1" si="1"/>
        <v/>
      </c>
      <c r="L9" s="45" t="str">
        <f t="shared" ca="1" si="1"/>
        <v/>
      </c>
      <c r="M9" s="45" t="str">
        <f t="shared" ca="1" si="1"/>
        <v/>
      </c>
      <c r="N9" s="45" t="str">
        <f t="shared" ca="1" si="1"/>
        <v/>
      </c>
      <c r="O9" s="45" t="str">
        <f t="shared" ca="1" si="1"/>
        <v/>
      </c>
      <c r="P9" s="45" t="str">
        <f t="shared" ca="1" si="1"/>
        <v/>
      </c>
      <c r="Q9" s="45" t="str">
        <f t="shared" ca="1" si="1"/>
        <v/>
      </c>
      <c r="R9" s="45" t="str">
        <f t="shared" ca="1" si="1"/>
        <v/>
      </c>
      <c r="S9" s="45" t="str">
        <f t="shared" ca="1" si="1"/>
        <v/>
      </c>
      <c r="T9" s="45" t="str">
        <f t="shared" ca="1" si="1"/>
        <v/>
      </c>
      <c r="U9" s="45" t="str">
        <f t="shared" ca="1" si="1"/>
        <v>u</v>
      </c>
      <c r="V9" s="45" t="str">
        <f t="shared" ca="1" si="1"/>
        <v/>
      </c>
      <c r="W9" s="45" t="str">
        <f t="shared" ca="1" si="1"/>
        <v/>
      </c>
      <c r="X9" s="45" t="str">
        <f t="shared" ca="1" si="1"/>
        <v/>
      </c>
      <c r="Y9" s="45" t="str">
        <f t="shared" ca="1" si="1"/>
        <v/>
      </c>
      <c r="Z9" s="45" t="str">
        <f t="shared" ca="1" si="1"/>
        <v/>
      </c>
      <c r="AA9" s="45" t="str">
        <f t="shared" ca="1" si="1"/>
        <v/>
      </c>
      <c r="AB9" s="45" t="str">
        <f t="shared" ca="1" si="1"/>
        <v/>
      </c>
      <c r="AC9" s="45" t="str">
        <f t="shared" ca="1" si="1"/>
        <v/>
      </c>
      <c r="AD9" s="45" t="str">
        <f t="shared" ca="1" si="1"/>
        <v/>
      </c>
      <c r="AE9" s="45" t="str">
        <f t="shared" ca="1" si="1"/>
        <v/>
      </c>
      <c r="AF9" s="45" t="str">
        <f t="shared" ca="1" si="1"/>
        <v/>
      </c>
      <c r="AG9" s="45" t="str">
        <f t="shared" ca="1" si="1"/>
        <v/>
      </c>
      <c r="AH9" s="45" t="str">
        <f t="shared" ca="1" si="1"/>
        <v/>
      </c>
      <c r="AI9" s="45" t="str">
        <f t="shared" ca="1" si="1"/>
        <v/>
      </c>
      <c r="AJ9" s="45" t="str">
        <f t="shared" ca="1" si="1"/>
        <v/>
      </c>
      <c r="AK9" s="45" t="str">
        <f t="shared" ca="1" si="1"/>
        <v/>
      </c>
      <c r="AL9" s="45" t="str">
        <f t="shared" ca="1" si="1"/>
        <v/>
      </c>
      <c r="AM9" s="45" t="str">
        <f t="shared" ca="1" si="1"/>
        <v/>
      </c>
      <c r="AN9" s="45" t="str">
        <f t="shared" ca="1" si="1"/>
        <v/>
      </c>
      <c r="AO9" s="45" t="str">
        <f t="shared" ca="1" si="1"/>
        <v/>
      </c>
      <c r="AP9" s="45" t="str">
        <f t="shared" ca="1" si="1"/>
        <v/>
      </c>
      <c r="AQ9" s="45" t="str">
        <f t="shared" ca="1" si="1"/>
        <v/>
      </c>
      <c r="AR9" s="47" t="str">
        <f t="shared" ca="1" si="1"/>
        <v/>
      </c>
    </row>
    <row r="10" spans="2:44" ht="20">
      <c r="B10" s="28">
        <v>4</v>
      </c>
      <c r="C10" s="2" t="s">
        <v>22</v>
      </c>
      <c r="D10" s="5" t="s">
        <v>23</v>
      </c>
      <c r="E10" s="9">
        <v>46230</v>
      </c>
      <c r="F10" s="10">
        <v>46262</v>
      </c>
      <c r="G10" s="14">
        <f t="shared" si="2"/>
        <v>25</v>
      </c>
      <c r="H10" s="18" t="s">
        <v>14</v>
      </c>
      <c r="I10" s="73">
        <v>0.2</v>
      </c>
      <c r="J10" s="48" t="str">
        <f t="shared" ca="1" si="3"/>
        <v/>
      </c>
      <c r="K10" s="49" t="str">
        <f t="shared" ca="1" si="1"/>
        <v/>
      </c>
      <c r="L10" s="49" t="str">
        <f t="shared" ca="1" si="1"/>
        <v/>
      </c>
      <c r="M10" s="49" t="str">
        <f t="shared" ca="1" si="1"/>
        <v/>
      </c>
      <c r="N10" s="49" t="str">
        <f t="shared" ca="1" si="1"/>
        <v/>
      </c>
      <c r="O10" s="49" t="str">
        <f t="shared" ca="1" si="1"/>
        <v/>
      </c>
      <c r="P10" s="49" t="str">
        <f t="shared" ca="1" si="1"/>
        <v/>
      </c>
      <c r="Q10" s="49" t="str">
        <f t="shared" ca="1" si="1"/>
        <v/>
      </c>
      <c r="R10" s="49" t="str">
        <f t="shared" ca="1" si="1"/>
        <v/>
      </c>
      <c r="S10" s="49" t="str">
        <f t="shared" ca="1" si="1"/>
        <v/>
      </c>
      <c r="T10" s="49" t="str">
        <f t="shared" ca="1" si="1"/>
        <v/>
      </c>
      <c r="U10" s="49" t="str">
        <f t="shared" ca="1" si="1"/>
        <v/>
      </c>
      <c r="V10" s="49" t="str">
        <f t="shared" ca="1" si="1"/>
        <v/>
      </c>
      <c r="W10" s="49" t="str">
        <f t="shared" ca="1" si="1"/>
        <v/>
      </c>
      <c r="X10" s="49" t="str">
        <f t="shared" ca="1" si="1"/>
        <v/>
      </c>
      <c r="Y10" s="49" t="str">
        <f t="shared" ca="1" si="1"/>
        <v/>
      </c>
      <c r="Z10" s="49" t="str">
        <f t="shared" ca="1" si="1"/>
        <v>u</v>
      </c>
      <c r="AA10" s="49" t="str">
        <f t="shared" ca="1" si="1"/>
        <v/>
      </c>
      <c r="AB10" s="49" t="str">
        <f t="shared" ca="1" si="1"/>
        <v/>
      </c>
      <c r="AC10" s="49" t="str">
        <f t="shared" ca="1" si="1"/>
        <v/>
      </c>
      <c r="AD10" s="49" t="str">
        <f t="shared" ca="1" si="1"/>
        <v/>
      </c>
      <c r="AE10" s="49" t="str">
        <f t="shared" ca="1" si="1"/>
        <v/>
      </c>
      <c r="AF10" s="49" t="str">
        <f t="shared" ca="1" si="1"/>
        <v/>
      </c>
      <c r="AG10" s="49" t="str">
        <f t="shared" ca="1" si="1"/>
        <v/>
      </c>
      <c r="AH10" s="49" t="str">
        <f t="shared" ca="1" si="1"/>
        <v/>
      </c>
      <c r="AI10" s="49" t="str">
        <f t="shared" ca="1" si="1"/>
        <v/>
      </c>
      <c r="AJ10" s="49" t="str">
        <f t="shared" ca="1" si="1"/>
        <v/>
      </c>
      <c r="AK10" s="49" t="str">
        <f t="shared" ca="1" si="1"/>
        <v/>
      </c>
      <c r="AL10" s="49" t="str">
        <f t="shared" ca="1" si="1"/>
        <v/>
      </c>
      <c r="AM10" s="49" t="str">
        <f t="shared" ca="1" si="1"/>
        <v/>
      </c>
      <c r="AN10" s="49" t="str">
        <f t="shared" ca="1" si="1"/>
        <v/>
      </c>
      <c r="AO10" s="49" t="str">
        <f t="shared" ca="1" si="1"/>
        <v/>
      </c>
      <c r="AP10" s="49" t="str">
        <f t="shared" ca="1" si="1"/>
        <v/>
      </c>
      <c r="AQ10" s="49" t="str">
        <f t="shared" ca="1" si="1"/>
        <v/>
      </c>
      <c r="AR10" s="50" t="str">
        <f t="shared" ca="1" si="1"/>
        <v/>
      </c>
    </row>
    <row r="11" spans="2:44" ht="20">
      <c r="B11" s="29">
        <v>5</v>
      </c>
      <c r="C11" s="3" t="s">
        <v>24</v>
      </c>
      <c r="D11" s="6" t="s">
        <v>25</v>
      </c>
      <c r="E11" s="11">
        <v>46265</v>
      </c>
      <c r="F11" s="12">
        <v>46297</v>
      </c>
      <c r="G11" s="15">
        <f t="shared" si="2"/>
        <v>25</v>
      </c>
      <c r="H11" s="19" t="s">
        <v>12</v>
      </c>
      <c r="I11" s="74">
        <v>0.4</v>
      </c>
      <c r="J11" s="51" t="str">
        <f t="shared" ca="1" si="3"/>
        <v/>
      </c>
      <c r="K11" s="52" t="str">
        <f t="shared" ca="1" si="1"/>
        <v/>
      </c>
      <c r="L11" s="52" t="str">
        <f t="shared" ca="1" si="1"/>
        <v/>
      </c>
      <c r="M11" s="52" t="str">
        <f t="shared" ca="1" si="1"/>
        <v/>
      </c>
      <c r="N11" s="52" t="str">
        <f t="shared" ca="1" si="1"/>
        <v/>
      </c>
      <c r="O11" s="52" t="str">
        <f t="shared" ca="1" si="1"/>
        <v/>
      </c>
      <c r="P11" s="52" t="str">
        <f t="shared" ca="1" si="1"/>
        <v/>
      </c>
      <c r="Q11" s="52" t="str">
        <f t="shared" ca="1" si="1"/>
        <v/>
      </c>
      <c r="R11" s="52" t="str">
        <f t="shared" ca="1" si="1"/>
        <v/>
      </c>
      <c r="S11" s="52" t="str">
        <f t="shared" ca="1" si="1"/>
        <v/>
      </c>
      <c r="T11" s="52" t="str">
        <f t="shared" ca="1" si="1"/>
        <v/>
      </c>
      <c r="U11" s="52" t="str">
        <f t="shared" ca="1" si="1"/>
        <v/>
      </c>
      <c r="V11" s="52" t="str">
        <f t="shared" ca="1" si="1"/>
        <v/>
      </c>
      <c r="W11" s="52" t="str">
        <f t="shared" ca="1" si="1"/>
        <v/>
      </c>
      <c r="X11" s="52" t="str">
        <f t="shared" ca="1" si="1"/>
        <v/>
      </c>
      <c r="Y11" s="52" t="str">
        <f t="shared" ca="1" si="1"/>
        <v/>
      </c>
      <c r="Z11" s="52" t="str">
        <f t="shared" ca="1" si="1"/>
        <v/>
      </c>
      <c r="AA11" s="52" t="str">
        <f t="shared" ca="1" si="1"/>
        <v/>
      </c>
      <c r="AB11" s="52" t="str">
        <f t="shared" ca="1" si="1"/>
        <v/>
      </c>
      <c r="AC11" s="52" t="str">
        <f t="shared" ca="1" si="1"/>
        <v/>
      </c>
      <c r="AD11" s="52" t="str">
        <f t="shared" ca="1" si="1"/>
        <v/>
      </c>
      <c r="AE11" s="52" t="str">
        <f t="shared" ca="1" si="1"/>
        <v>u</v>
      </c>
      <c r="AF11" s="52" t="str">
        <f t="shared" ca="1" si="1"/>
        <v/>
      </c>
      <c r="AG11" s="52" t="str">
        <f t="shared" ca="1" si="1"/>
        <v/>
      </c>
      <c r="AH11" s="52" t="str">
        <f t="shared" ca="1" si="1"/>
        <v/>
      </c>
      <c r="AI11" s="52" t="str">
        <f t="shared" ca="1" si="1"/>
        <v/>
      </c>
      <c r="AJ11" s="52" t="str">
        <f t="shared" ca="1" si="1"/>
        <v/>
      </c>
      <c r="AK11" s="52" t="str">
        <f t="shared" ca="1" si="1"/>
        <v/>
      </c>
      <c r="AL11" s="52" t="str">
        <f t="shared" ca="1" si="1"/>
        <v/>
      </c>
      <c r="AM11" s="52" t="str">
        <f t="shared" ca="1" si="1"/>
        <v/>
      </c>
      <c r="AN11" s="52" t="str">
        <f t="shared" ca="1" si="1"/>
        <v/>
      </c>
      <c r="AO11" s="52" t="str">
        <f t="shared" ca="1" si="1"/>
        <v/>
      </c>
      <c r="AP11" s="52" t="str">
        <f t="shared" ca="1" si="1"/>
        <v/>
      </c>
      <c r="AQ11" s="52" t="str">
        <f t="shared" ca="1" si="1"/>
        <v/>
      </c>
      <c r="AR11" s="53" t="str">
        <f t="shared" ca="1" si="1"/>
        <v/>
      </c>
    </row>
    <row r="12" spans="2:44" ht="20">
      <c r="B12" s="28">
        <v>6</v>
      </c>
      <c r="C12" s="2" t="s">
        <v>26</v>
      </c>
      <c r="D12" s="5" t="s">
        <v>27</v>
      </c>
      <c r="E12" s="9">
        <v>46300</v>
      </c>
      <c r="F12" s="10">
        <v>46332</v>
      </c>
      <c r="G12" s="14">
        <f t="shared" si="2"/>
        <v>25</v>
      </c>
      <c r="H12" s="19" t="s">
        <v>12</v>
      </c>
      <c r="I12" s="74">
        <v>0.3</v>
      </c>
      <c r="J12" s="51" t="str">
        <f t="shared" ca="1" si="3"/>
        <v/>
      </c>
      <c r="K12" s="52" t="str">
        <f t="shared" ca="1" si="1"/>
        <v/>
      </c>
      <c r="L12" s="52" t="str">
        <f t="shared" ca="1" si="1"/>
        <v/>
      </c>
      <c r="M12" s="52" t="str">
        <f t="shared" ca="1" si="1"/>
        <v/>
      </c>
      <c r="N12" s="52" t="str">
        <f t="shared" ca="1" si="1"/>
        <v/>
      </c>
      <c r="O12" s="52" t="str">
        <f t="shared" ca="1" si="1"/>
        <v/>
      </c>
      <c r="P12" s="52" t="str">
        <f t="shared" ca="1" si="1"/>
        <v/>
      </c>
      <c r="Q12" s="52" t="str">
        <f t="shared" ca="1" si="1"/>
        <v/>
      </c>
      <c r="R12" s="52" t="str">
        <f t="shared" ca="1" si="1"/>
        <v/>
      </c>
      <c r="S12" s="52" t="str">
        <f t="shared" ca="1" si="1"/>
        <v/>
      </c>
      <c r="T12" s="52" t="str">
        <f t="shared" ca="1" si="1"/>
        <v/>
      </c>
      <c r="U12" s="52" t="str">
        <f t="shared" ca="1" si="1"/>
        <v/>
      </c>
      <c r="V12" s="52" t="str">
        <f t="shared" ca="1" si="1"/>
        <v/>
      </c>
      <c r="W12" s="52" t="str">
        <f t="shared" ca="1" si="1"/>
        <v/>
      </c>
      <c r="X12" s="52" t="str">
        <f t="shared" ca="1" si="1"/>
        <v/>
      </c>
      <c r="Y12" s="52" t="str">
        <f t="shared" ca="1" si="1"/>
        <v/>
      </c>
      <c r="Z12" s="52" t="str">
        <f t="shared" ca="1" si="1"/>
        <v/>
      </c>
      <c r="AA12" s="52" t="str">
        <f t="shared" ca="1" si="1"/>
        <v/>
      </c>
      <c r="AB12" s="52" t="str">
        <f t="shared" ca="1" si="1"/>
        <v/>
      </c>
      <c r="AC12" s="52" t="str">
        <f t="shared" ca="1" si="1"/>
        <v/>
      </c>
      <c r="AD12" s="52" t="str">
        <f t="shared" ca="1" si="1"/>
        <v/>
      </c>
      <c r="AE12" s="52" t="str">
        <f t="shared" ca="1" si="1"/>
        <v/>
      </c>
      <c r="AF12" s="52" t="str">
        <f t="shared" ca="1" si="1"/>
        <v/>
      </c>
      <c r="AG12" s="52" t="str">
        <f t="shared" ca="1" si="1"/>
        <v/>
      </c>
      <c r="AH12" s="52" t="str">
        <f t="shared" ca="1" si="1"/>
        <v/>
      </c>
      <c r="AI12" s="52" t="str">
        <f t="shared" ca="1" si="1"/>
        <v/>
      </c>
      <c r="AJ12" s="52" t="str">
        <f t="shared" ca="1" si="1"/>
        <v>u</v>
      </c>
      <c r="AK12" s="52" t="str">
        <f t="shared" ca="1" si="1"/>
        <v/>
      </c>
      <c r="AL12" s="52" t="str">
        <f t="shared" ca="1" si="1"/>
        <v/>
      </c>
      <c r="AM12" s="52" t="str">
        <f t="shared" ca="1" si="1"/>
        <v/>
      </c>
      <c r="AN12" s="52" t="str">
        <f t="shared" ca="1" si="1"/>
        <v/>
      </c>
      <c r="AO12" s="52" t="str">
        <f t="shared" ca="1" si="1"/>
        <v/>
      </c>
      <c r="AP12" s="52" t="str">
        <f t="shared" ca="1" si="1"/>
        <v/>
      </c>
      <c r="AQ12" s="52" t="str">
        <f t="shared" ca="1" si="1"/>
        <v/>
      </c>
      <c r="AR12" s="53" t="str">
        <f t="shared" ca="1" si="1"/>
        <v/>
      </c>
    </row>
    <row r="13" spans="2:44" ht="20">
      <c r="B13" s="29">
        <v>7</v>
      </c>
      <c r="C13" s="3" t="s">
        <v>28</v>
      </c>
      <c r="D13" s="6" t="s">
        <v>29</v>
      </c>
      <c r="E13" s="11">
        <v>46335</v>
      </c>
      <c r="F13" s="12">
        <v>46360</v>
      </c>
      <c r="G13" s="15">
        <f t="shared" si="2"/>
        <v>20</v>
      </c>
      <c r="H13" s="20" t="s">
        <v>11</v>
      </c>
      <c r="I13" s="75">
        <v>0</v>
      </c>
      <c r="J13" s="54" t="str">
        <f t="shared" ca="1" si="3"/>
        <v/>
      </c>
      <c r="K13" s="55" t="str">
        <f t="shared" ca="1" si="1"/>
        <v/>
      </c>
      <c r="L13" s="55" t="str">
        <f t="shared" ca="1" si="1"/>
        <v/>
      </c>
      <c r="M13" s="55" t="str">
        <f t="shared" ca="1" si="1"/>
        <v/>
      </c>
      <c r="N13" s="55" t="str">
        <f t="shared" ca="1" si="1"/>
        <v/>
      </c>
      <c r="O13" s="55" t="str">
        <f t="shared" ca="1" si="1"/>
        <v/>
      </c>
      <c r="P13" s="55" t="str">
        <f t="shared" ca="1" si="1"/>
        <v/>
      </c>
      <c r="Q13" s="55" t="str">
        <f t="shared" ca="1" si="1"/>
        <v/>
      </c>
      <c r="R13" s="55" t="str">
        <f t="shared" ca="1" si="1"/>
        <v/>
      </c>
      <c r="S13" s="55" t="str">
        <f t="shared" ca="1" si="1"/>
        <v/>
      </c>
      <c r="T13" s="55" t="str">
        <f t="shared" ca="1" si="1"/>
        <v/>
      </c>
      <c r="U13" s="55" t="str">
        <f t="shared" ca="1" si="1"/>
        <v/>
      </c>
      <c r="V13" s="55" t="str">
        <f t="shared" ca="1" si="1"/>
        <v/>
      </c>
      <c r="W13" s="55" t="str">
        <f t="shared" ca="1" si="1"/>
        <v/>
      </c>
      <c r="X13" s="55" t="str">
        <f t="shared" ca="1" si="1"/>
        <v/>
      </c>
      <c r="Y13" s="55" t="str">
        <f t="shared" ca="1" si="1"/>
        <v/>
      </c>
      <c r="Z13" s="55" t="str">
        <f t="shared" ca="1" si="1"/>
        <v/>
      </c>
      <c r="AA13" s="55" t="str">
        <f t="shared" ca="1" si="1"/>
        <v/>
      </c>
      <c r="AB13" s="55" t="str">
        <f t="shared" ca="1" si="1"/>
        <v/>
      </c>
      <c r="AC13" s="55" t="str">
        <f t="shared" ca="1" si="1"/>
        <v/>
      </c>
      <c r="AD13" s="55" t="str">
        <f t="shared" ca="1" si="1"/>
        <v/>
      </c>
      <c r="AE13" s="55" t="str">
        <f t="shared" ca="1" si="1"/>
        <v/>
      </c>
      <c r="AF13" s="55" t="str">
        <f t="shared" ca="1" si="1"/>
        <v/>
      </c>
      <c r="AG13" s="55" t="str">
        <f t="shared" ca="1" si="1"/>
        <v/>
      </c>
      <c r="AH13" s="55" t="str">
        <f t="shared" ca="1" si="1"/>
        <v/>
      </c>
      <c r="AI13" s="55" t="str">
        <f t="shared" ca="1" si="1"/>
        <v/>
      </c>
      <c r="AJ13" s="55" t="str">
        <f t="shared" ca="1" si="1"/>
        <v/>
      </c>
      <c r="AK13" s="55" t="str">
        <f t="shared" ca="1" si="1"/>
        <v/>
      </c>
      <c r="AL13" s="55" t="str">
        <f t="shared" ca="1" si="1"/>
        <v/>
      </c>
      <c r="AM13" s="55" t="str">
        <f t="shared" ca="1" si="1"/>
        <v/>
      </c>
      <c r="AN13" s="55" t="str">
        <f t="shared" ca="1" si="1"/>
        <v>u</v>
      </c>
      <c r="AO13" s="55" t="str">
        <f t="shared" ca="1" si="1"/>
        <v/>
      </c>
      <c r="AP13" s="55" t="str">
        <f t="shared" ca="1" si="1"/>
        <v/>
      </c>
      <c r="AQ13" s="55" t="str">
        <f t="shared" ca="1" si="1"/>
        <v/>
      </c>
      <c r="AR13" s="56" t="str">
        <f t="shared" ca="1" si="1"/>
        <v/>
      </c>
    </row>
    <row r="14" spans="2:44" ht="20">
      <c r="B14" s="28">
        <v>8</v>
      </c>
      <c r="C14" s="2" t="s">
        <v>30</v>
      </c>
      <c r="D14" s="5" t="s">
        <v>31</v>
      </c>
      <c r="E14" s="9">
        <v>46363</v>
      </c>
      <c r="F14" s="10">
        <v>46374</v>
      </c>
      <c r="G14" s="14">
        <f>IF(OR(E14="",F14=""),"",F14-E14+1)</f>
        <v>12</v>
      </c>
      <c r="H14" s="20" t="s">
        <v>11</v>
      </c>
      <c r="I14" s="76">
        <v>0</v>
      </c>
      <c r="J14" s="54" t="str">
        <f t="shared" ca="1" si="3"/>
        <v/>
      </c>
      <c r="K14" s="55" t="str">
        <f t="shared" ca="1" si="1"/>
        <v/>
      </c>
      <c r="L14" s="55" t="str">
        <f t="shared" ca="1" si="1"/>
        <v/>
      </c>
      <c r="M14" s="55" t="str">
        <f t="shared" ca="1" si="1"/>
        <v/>
      </c>
      <c r="N14" s="55" t="str">
        <f t="shared" ca="1" si="1"/>
        <v/>
      </c>
      <c r="O14" s="55" t="str">
        <f t="shared" ca="1" si="1"/>
        <v/>
      </c>
      <c r="P14" s="55" t="str">
        <f t="shared" ca="1" si="1"/>
        <v/>
      </c>
      <c r="Q14" s="55" t="str">
        <f t="shared" ca="1" si="1"/>
        <v/>
      </c>
      <c r="R14" s="55" t="str">
        <f t="shared" ca="1" si="1"/>
        <v/>
      </c>
      <c r="S14" s="55" t="str">
        <f t="shared" ca="1" si="1"/>
        <v/>
      </c>
      <c r="T14" s="55" t="str">
        <f t="shared" ca="1" si="1"/>
        <v/>
      </c>
      <c r="U14" s="55" t="str">
        <f t="shared" ca="1" si="1"/>
        <v/>
      </c>
      <c r="V14" s="55" t="str">
        <f t="shared" ca="1" si="1"/>
        <v/>
      </c>
      <c r="W14" s="55" t="str">
        <f t="shared" ca="1" si="1"/>
        <v/>
      </c>
      <c r="X14" s="55" t="str">
        <f t="shared" ca="1" si="1"/>
        <v/>
      </c>
      <c r="Y14" s="55" t="str">
        <f t="shared" ca="1" si="1"/>
        <v/>
      </c>
      <c r="Z14" s="55" t="str">
        <f t="shared" ca="1" si="1"/>
        <v/>
      </c>
      <c r="AA14" s="55" t="str">
        <f t="shared" ca="1" si="1"/>
        <v/>
      </c>
      <c r="AB14" s="55" t="str">
        <f t="shared" ca="1" si="1"/>
        <v/>
      </c>
      <c r="AC14" s="55" t="str">
        <f t="shared" ca="1" si="1"/>
        <v/>
      </c>
      <c r="AD14" s="55" t="str">
        <f t="shared" ca="1" si="1"/>
        <v/>
      </c>
      <c r="AE14" s="55" t="str">
        <f t="shared" ca="1" si="1"/>
        <v/>
      </c>
      <c r="AF14" s="55" t="str">
        <f t="shared" ca="1" si="1"/>
        <v/>
      </c>
      <c r="AG14" s="55" t="str">
        <f t="shared" ca="1" si="1"/>
        <v/>
      </c>
      <c r="AH14" s="55" t="str">
        <f t="shared" ca="1" si="1"/>
        <v/>
      </c>
      <c r="AI14" s="55" t="str">
        <f t="shared" ca="1" si="1"/>
        <v/>
      </c>
      <c r="AJ14" s="55" t="str">
        <f t="shared" ca="1" si="1"/>
        <v/>
      </c>
      <c r="AK14" s="55" t="str">
        <f t="shared" ca="1" si="1"/>
        <v/>
      </c>
      <c r="AL14" s="55" t="str">
        <f t="shared" ca="1" si="1"/>
        <v/>
      </c>
      <c r="AM14" s="55" t="str">
        <f t="shared" ca="1" si="1"/>
        <v/>
      </c>
      <c r="AN14" s="55" t="str">
        <f t="shared" ca="1" si="1"/>
        <v/>
      </c>
      <c r="AO14" s="55" t="str">
        <f t="shared" ca="1" si="1"/>
        <v/>
      </c>
      <c r="AP14" s="55" t="str">
        <f t="shared" ca="1" si="1"/>
        <v>u</v>
      </c>
      <c r="AQ14" s="55" t="str">
        <f t="shared" ref="K14:AR16" ca="1" si="4">IF(AQ$5=($F14-WEEKDAY($F14,2)+1),"u","")</f>
        <v/>
      </c>
      <c r="AR14" s="56" t="str">
        <f t="shared" ca="1" si="4"/>
        <v/>
      </c>
    </row>
    <row r="15" spans="2:44" ht="20">
      <c r="B15" s="29">
        <v>9</v>
      </c>
      <c r="C15" s="3" t="s">
        <v>32</v>
      </c>
      <c r="D15" s="6" t="s">
        <v>33</v>
      </c>
      <c r="E15" s="11">
        <v>46377</v>
      </c>
      <c r="F15" s="12">
        <v>46381</v>
      </c>
      <c r="G15" s="15">
        <f>IF(OR(E15="",F15=""),"",F15-E15+1)</f>
        <v>5</v>
      </c>
      <c r="H15" s="20" t="s">
        <v>11</v>
      </c>
      <c r="I15" s="76">
        <v>0</v>
      </c>
      <c r="J15" s="54" t="str">
        <f t="shared" ca="1" si="3"/>
        <v/>
      </c>
      <c r="K15" s="55" t="str">
        <f t="shared" ca="1" si="4"/>
        <v/>
      </c>
      <c r="L15" s="55" t="str">
        <f t="shared" ca="1" si="4"/>
        <v/>
      </c>
      <c r="M15" s="55" t="str">
        <f t="shared" ca="1" si="4"/>
        <v/>
      </c>
      <c r="N15" s="55" t="str">
        <f t="shared" ca="1" si="4"/>
        <v/>
      </c>
      <c r="O15" s="55" t="str">
        <f t="shared" ca="1" si="4"/>
        <v/>
      </c>
      <c r="P15" s="55" t="str">
        <f t="shared" ca="1" si="4"/>
        <v/>
      </c>
      <c r="Q15" s="55" t="str">
        <f t="shared" ca="1" si="4"/>
        <v/>
      </c>
      <c r="R15" s="55" t="str">
        <f t="shared" ca="1" si="4"/>
        <v/>
      </c>
      <c r="S15" s="55" t="str">
        <f t="shared" ca="1" si="4"/>
        <v/>
      </c>
      <c r="T15" s="55" t="str">
        <f t="shared" ca="1" si="4"/>
        <v/>
      </c>
      <c r="U15" s="55" t="str">
        <f t="shared" ca="1" si="4"/>
        <v/>
      </c>
      <c r="V15" s="55" t="str">
        <f t="shared" ca="1" si="4"/>
        <v/>
      </c>
      <c r="W15" s="55" t="str">
        <f t="shared" ca="1" si="4"/>
        <v/>
      </c>
      <c r="X15" s="55" t="str">
        <f t="shared" ca="1" si="4"/>
        <v/>
      </c>
      <c r="Y15" s="55" t="str">
        <f t="shared" ca="1" si="4"/>
        <v/>
      </c>
      <c r="Z15" s="55" t="str">
        <f t="shared" ca="1" si="4"/>
        <v/>
      </c>
      <c r="AA15" s="55" t="str">
        <f t="shared" ca="1" si="4"/>
        <v/>
      </c>
      <c r="AB15" s="55" t="str">
        <f t="shared" ca="1" si="4"/>
        <v/>
      </c>
      <c r="AC15" s="55" t="str">
        <f t="shared" ca="1" si="4"/>
        <v/>
      </c>
      <c r="AD15" s="55" t="str">
        <f t="shared" ca="1" si="4"/>
        <v/>
      </c>
      <c r="AE15" s="55" t="str">
        <f t="shared" ca="1" si="4"/>
        <v/>
      </c>
      <c r="AF15" s="55" t="str">
        <f t="shared" ca="1" si="4"/>
        <v/>
      </c>
      <c r="AG15" s="55" t="str">
        <f t="shared" ca="1" si="4"/>
        <v/>
      </c>
      <c r="AH15" s="55" t="str">
        <f t="shared" ca="1" si="4"/>
        <v/>
      </c>
      <c r="AI15" s="55" t="str">
        <f t="shared" ca="1" si="4"/>
        <v/>
      </c>
      <c r="AJ15" s="55" t="str">
        <f t="shared" ca="1" si="4"/>
        <v/>
      </c>
      <c r="AK15" s="55" t="str">
        <f t="shared" ca="1" si="4"/>
        <v/>
      </c>
      <c r="AL15" s="55" t="str">
        <f t="shared" ca="1" si="4"/>
        <v/>
      </c>
      <c r="AM15" s="55" t="str">
        <f t="shared" ca="1" si="4"/>
        <v/>
      </c>
      <c r="AN15" s="55" t="str">
        <f t="shared" ca="1" si="4"/>
        <v/>
      </c>
      <c r="AO15" s="55" t="str">
        <f t="shared" ca="1" si="4"/>
        <v/>
      </c>
      <c r="AP15" s="55" t="str">
        <f t="shared" ca="1" si="4"/>
        <v/>
      </c>
      <c r="AQ15" s="55" t="str">
        <f t="shared" ca="1" si="4"/>
        <v>u</v>
      </c>
      <c r="AR15" s="56" t="str">
        <f t="shared" ca="1" si="4"/>
        <v/>
      </c>
    </row>
    <row r="16" spans="2:44" ht="20.5" thickBot="1">
      <c r="B16" s="30">
        <v>10</v>
      </c>
      <c r="C16" s="21" t="s">
        <v>34</v>
      </c>
      <c r="D16" s="22" t="s">
        <v>35</v>
      </c>
      <c r="E16" s="23">
        <v>46384</v>
      </c>
      <c r="F16" s="24">
        <v>46387</v>
      </c>
      <c r="G16" s="25">
        <f>IF(OR(E16="",F16=""),"",F16-E16+1)</f>
        <v>4</v>
      </c>
      <c r="H16" s="26" t="s">
        <v>11</v>
      </c>
      <c r="I16" s="77">
        <v>0</v>
      </c>
      <c r="J16" s="57" t="str">
        <f t="shared" ca="1" si="3"/>
        <v/>
      </c>
      <c r="K16" s="58" t="str">
        <f t="shared" ca="1" si="4"/>
        <v/>
      </c>
      <c r="L16" s="58" t="str">
        <f t="shared" ca="1" si="4"/>
        <v/>
      </c>
      <c r="M16" s="58" t="str">
        <f t="shared" ca="1" si="4"/>
        <v/>
      </c>
      <c r="N16" s="58" t="str">
        <f t="shared" ca="1" si="4"/>
        <v/>
      </c>
      <c r="O16" s="58" t="str">
        <f t="shared" ca="1" si="4"/>
        <v/>
      </c>
      <c r="P16" s="58" t="str">
        <f t="shared" ca="1" si="4"/>
        <v/>
      </c>
      <c r="Q16" s="58" t="str">
        <f t="shared" ca="1" si="4"/>
        <v/>
      </c>
      <c r="R16" s="58" t="str">
        <f t="shared" ca="1" si="4"/>
        <v/>
      </c>
      <c r="S16" s="58" t="str">
        <f t="shared" ca="1" si="4"/>
        <v/>
      </c>
      <c r="T16" s="58" t="str">
        <f t="shared" ca="1" si="4"/>
        <v/>
      </c>
      <c r="U16" s="58" t="str">
        <f t="shared" ca="1" si="4"/>
        <v/>
      </c>
      <c r="V16" s="58" t="str">
        <f t="shared" ca="1" si="4"/>
        <v/>
      </c>
      <c r="W16" s="58" t="str">
        <f t="shared" ca="1" si="4"/>
        <v/>
      </c>
      <c r="X16" s="58" t="str">
        <f t="shared" ca="1" si="4"/>
        <v/>
      </c>
      <c r="Y16" s="58" t="str">
        <f t="shared" ca="1" si="4"/>
        <v/>
      </c>
      <c r="Z16" s="58" t="str">
        <f t="shared" ca="1" si="4"/>
        <v/>
      </c>
      <c r="AA16" s="58" t="str">
        <f t="shared" ca="1" si="4"/>
        <v/>
      </c>
      <c r="AB16" s="58" t="str">
        <f t="shared" ca="1" si="4"/>
        <v/>
      </c>
      <c r="AC16" s="58" t="str">
        <f t="shared" ca="1" si="4"/>
        <v/>
      </c>
      <c r="AD16" s="58" t="str">
        <f t="shared" ca="1" si="4"/>
        <v/>
      </c>
      <c r="AE16" s="58" t="str">
        <f t="shared" ca="1" si="4"/>
        <v/>
      </c>
      <c r="AF16" s="58" t="str">
        <f t="shared" ca="1" si="4"/>
        <v/>
      </c>
      <c r="AG16" s="58" t="str">
        <f t="shared" ca="1" si="4"/>
        <v/>
      </c>
      <c r="AH16" s="58" t="str">
        <f t="shared" ca="1" si="4"/>
        <v/>
      </c>
      <c r="AI16" s="58" t="str">
        <f t="shared" ca="1" si="4"/>
        <v/>
      </c>
      <c r="AJ16" s="58" t="str">
        <f t="shared" ca="1" si="4"/>
        <v/>
      </c>
      <c r="AK16" s="58" t="str">
        <f t="shared" ca="1" si="4"/>
        <v/>
      </c>
      <c r="AL16" s="58" t="str">
        <f t="shared" ca="1" si="4"/>
        <v/>
      </c>
      <c r="AM16" s="58" t="str">
        <f t="shared" ca="1" si="4"/>
        <v/>
      </c>
      <c r="AN16" s="58" t="str">
        <f t="shared" ca="1" si="4"/>
        <v/>
      </c>
      <c r="AO16" s="58" t="str">
        <f t="shared" ca="1" si="4"/>
        <v/>
      </c>
      <c r="AP16" s="58" t="str">
        <f t="shared" ca="1" si="4"/>
        <v/>
      </c>
      <c r="AQ16" s="58" t="str">
        <f t="shared" ca="1" si="4"/>
        <v/>
      </c>
      <c r="AR16" s="59" t="str">
        <f t="shared" ca="1" si="4"/>
        <v>u</v>
      </c>
    </row>
    <row r="17" spans="2:9">
      <c r="B17" s="60"/>
      <c r="C17" s="60"/>
      <c r="D17" s="60"/>
      <c r="E17" s="60"/>
      <c r="F17" s="60"/>
      <c r="G17" s="60"/>
      <c r="H17" s="60"/>
      <c r="I17" s="60"/>
    </row>
    <row r="19" spans="2:9" ht="16">
      <c r="B19" s="61"/>
      <c r="C19" s="83" t="s">
        <v>9</v>
      </c>
      <c r="D19" s="62"/>
    </row>
    <row r="20" spans="2:9">
      <c r="B20" s="63"/>
      <c r="C20" s="64" t="s">
        <v>11</v>
      </c>
      <c r="D20" s="65"/>
    </row>
    <row r="21" spans="2:9">
      <c r="B21" s="63"/>
      <c r="C21" s="66" t="s">
        <v>12</v>
      </c>
      <c r="D21" s="65"/>
    </row>
    <row r="22" spans="2:9">
      <c r="B22" s="63"/>
      <c r="C22" s="67" t="s">
        <v>14</v>
      </c>
      <c r="D22" s="65"/>
    </row>
    <row r="23" spans="2:9">
      <c r="B23" s="68"/>
      <c r="C23" s="69" t="s">
        <v>13</v>
      </c>
      <c r="D23" s="70"/>
    </row>
    <row r="24" spans="2:9" ht="15" thickBot="1"/>
    <row r="25" spans="2:9" ht="25" customHeight="1">
      <c r="B25" s="152" t="s">
        <v>38</v>
      </c>
      <c r="C25" s="153"/>
      <c r="D25" s="153"/>
      <c r="E25" s="153"/>
      <c r="F25" s="153"/>
      <c r="G25" s="153"/>
      <c r="H25" s="153"/>
      <c r="I25" s="154"/>
    </row>
    <row r="26" spans="2:9" ht="90" customHeight="1">
      <c r="B26" s="112" t="s">
        <v>39</v>
      </c>
      <c r="C26" s="113"/>
      <c r="D26" s="113"/>
      <c r="E26" s="113"/>
      <c r="F26" s="113"/>
      <c r="G26" s="113"/>
      <c r="H26" s="113"/>
      <c r="I26" s="114"/>
    </row>
    <row r="27" spans="2:9">
      <c r="B27" s="112"/>
      <c r="C27" s="113"/>
      <c r="D27" s="113"/>
      <c r="E27" s="113"/>
      <c r="F27" s="113"/>
      <c r="G27" s="113"/>
      <c r="H27" s="113"/>
      <c r="I27" s="114"/>
    </row>
    <row r="28" spans="2:9">
      <c r="B28" s="112"/>
      <c r="C28" s="113"/>
      <c r="D28" s="113"/>
      <c r="E28" s="113"/>
      <c r="F28" s="113"/>
      <c r="G28" s="113"/>
      <c r="H28" s="113"/>
      <c r="I28" s="114"/>
    </row>
    <row r="29" spans="2:9">
      <c r="B29" s="112"/>
      <c r="C29" s="113"/>
      <c r="D29" s="113"/>
      <c r="E29" s="113"/>
      <c r="F29" s="113"/>
      <c r="G29" s="113"/>
      <c r="H29" s="113"/>
      <c r="I29" s="114"/>
    </row>
    <row r="30" spans="2:9" ht="15" thickBot="1">
      <c r="B30" s="115"/>
      <c r="C30" s="116"/>
      <c r="D30" s="116"/>
      <c r="E30" s="116"/>
      <c r="F30" s="116"/>
      <c r="G30" s="116"/>
      <c r="H30" s="116"/>
      <c r="I30" s="117"/>
    </row>
  </sheetData>
  <mergeCells count="17">
    <mergeCell ref="B25:I25"/>
    <mergeCell ref="B26:I30"/>
    <mergeCell ref="B1:I1"/>
    <mergeCell ref="B2:I2"/>
    <mergeCell ref="B3:I3"/>
    <mergeCell ref="B4:B5"/>
    <mergeCell ref="E4:I4"/>
    <mergeCell ref="J3:AR3"/>
    <mergeCell ref="AF4:AI4"/>
    <mergeCell ref="AJ4:AN4"/>
    <mergeCell ref="AO4:AR4"/>
    <mergeCell ref="D5:G5"/>
    <mergeCell ref="J4:M4"/>
    <mergeCell ref="N4:R4"/>
    <mergeCell ref="S4:V4"/>
    <mergeCell ref="W4:AA4"/>
    <mergeCell ref="AB4:AE4"/>
  </mergeCells>
  <phoneticPr fontId="2" type="noConversion"/>
  <conditionalFormatting sqref="H7:H16">
    <cfRule type="containsText" dxfId="11" priority="9" operator="containsText" text="Blocked">
      <formula>NOT(ISERROR(SEARCH("Blocked",H7)))</formula>
    </cfRule>
  </conditionalFormatting>
  <conditionalFormatting sqref="J7:AR16">
    <cfRule type="expression" dxfId="10" priority="1">
      <formula>AND($I7&gt;0, J$5 &lt;= ($E7+($F7-$E7)*$I7)-WEEKDAY(($E7+($F7-$E7)*$I7),2)+1, J$5 &gt;= $E7 - WEEKDAY($E7, 2)+1)</formula>
    </cfRule>
    <cfRule type="expression" dxfId="9" priority="7">
      <formula>AND(J$5&gt;=$E7-(WEEKDAY($E7, 2)+1),J$5&lt;=$F7)</formula>
    </cfRule>
    <cfRule type="expression" dxfId="8" priority="8">
      <formula>J$5=(TODAY()-WEEKDAY(TODAY(), 2) + 1)</formula>
    </cfRule>
  </conditionalFormatting>
  <dataValidations count="1">
    <dataValidation type="list" allowBlank="1" showInputMessage="1" showErrorMessage="1" sqref="H7:H16" xr:uid="{7FBA0A85-BDAF-4D35-8302-E38C5142968C}">
      <formula1>$C$20:$C$23</formula1>
    </dataValidation>
  </dataValidations>
  <pageMargins left="0.7" right="0.7" top="0.75" bottom="0.75" header="0.3" footer="0.3"/>
  <pageSetup paperSize="0" scale="0" orientation="landscape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2E35-3773-4B1B-BE4F-9CB3C9824D18}">
  <dimension ref="B2:P25"/>
  <sheetViews>
    <sheetView topLeftCell="B15" workbookViewId="0">
      <selection activeCell="B19" sqref="B19:P19"/>
    </sheetView>
  </sheetViews>
  <sheetFormatPr defaultRowHeight="14.5"/>
  <cols>
    <col min="1" max="1" width="4.54296875" style="90" customWidth="1"/>
    <col min="2" max="2" width="5.54296875" style="90" customWidth="1"/>
    <col min="3" max="3" width="12.81640625" style="90" customWidth="1"/>
    <col min="4" max="4" width="18" style="90" customWidth="1"/>
    <col min="5" max="16" width="7.6328125" style="90" customWidth="1"/>
    <col min="17" max="16384" width="8.7265625" style="90"/>
  </cols>
  <sheetData>
    <row r="2" spans="2:16" ht="26">
      <c r="B2" s="141" t="s">
        <v>45</v>
      </c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</row>
    <row r="3" spans="2:16">
      <c r="B3" s="142"/>
      <c r="C3" s="142"/>
      <c r="D3" s="84" t="s">
        <v>1</v>
      </c>
      <c r="E3" s="143"/>
      <c r="F3" s="143"/>
      <c r="G3" s="143"/>
      <c r="H3" s="85"/>
      <c r="I3" s="144" t="s">
        <v>46</v>
      </c>
      <c r="J3" s="144"/>
      <c r="K3" s="145"/>
      <c r="L3" s="145"/>
      <c r="M3" s="145"/>
      <c r="N3" s="86"/>
      <c r="O3" s="86"/>
      <c r="P3" s="86"/>
    </row>
    <row r="4" spans="2:16"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</row>
    <row r="5" spans="2:16" ht="15" thickBot="1">
      <c r="B5" s="133" t="s">
        <v>47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</row>
    <row r="6" spans="2:16" ht="61" customHeight="1" thickBot="1">
      <c r="B6" s="135" t="s">
        <v>44</v>
      </c>
      <c r="C6" s="136"/>
      <c r="D6" s="137"/>
      <c r="E6" s="138" t="s">
        <v>48</v>
      </c>
      <c r="F6" s="130" t="s">
        <v>48</v>
      </c>
      <c r="G6" s="130" t="s">
        <v>48</v>
      </c>
      <c r="H6" s="130" t="s">
        <v>48</v>
      </c>
      <c r="I6" s="139" t="s">
        <v>48</v>
      </c>
      <c r="J6" s="130" t="s">
        <v>48</v>
      </c>
      <c r="K6" s="130" t="s">
        <v>48</v>
      </c>
      <c r="L6" s="130" t="s">
        <v>48</v>
      </c>
      <c r="M6" s="130" t="s">
        <v>48</v>
      </c>
      <c r="N6" s="130" t="s">
        <v>48</v>
      </c>
      <c r="O6" s="130" t="s">
        <v>48</v>
      </c>
      <c r="P6" s="130" t="s">
        <v>48</v>
      </c>
    </row>
    <row r="7" spans="2:16" ht="35" customHeight="1">
      <c r="B7" s="131" t="s">
        <v>49</v>
      </c>
      <c r="C7" s="132"/>
      <c r="D7" s="87" t="s">
        <v>50</v>
      </c>
      <c r="E7" s="138"/>
      <c r="F7" s="130"/>
      <c r="G7" s="130"/>
      <c r="H7" s="130"/>
      <c r="I7" s="140"/>
      <c r="J7" s="130"/>
      <c r="K7" s="130"/>
      <c r="L7" s="130"/>
      <c r="M7" s="130"/>
      <c r="N7" s="130"/>
      <c r="O7" s="130"/>
      <c r="P7" s="130"/>
    </row>
    <row r="8" spans="2:16" ht="35" customHeight="1">
      <c r="B8" s="126" t="s">
        <v>51</v>
      </c>
      <c r="C8" s="127"/>
      <c r="D8" s="88" t="s">
        <v>55</v>
      </c>
      <c r="E8" s="92"/>
      <c r="F8" s="93"/>
      <c r="G8" s="93"/>
      <c r="H8" s="93"/>
      <c r="I8" s="93"/>
      <c r="J8" s="93"/>
      <c r="K8" s="93"/>
      <c r="L8" s="93"/>
      <c r="M8" s="93"/>
      <c r="N8" s="93"/>
      <c r="O8" s="93"/>
      <c r="P8" s="94"/>
    </row>
    <row r="9" spans="2:16" ht="35" customHeight="1">
      <c r="B9" s="126" t="s">
        <v>52</v>
      </c>
      <c r="C9" s="127"/>
      <c r="D9" s="88" t="s">
        <v>56</v>
      </c>
      <c r="E9" s="95"/>
      <c r="F9" s="96"/>
      <c r="G9" s="96"/>
      <c r="H9" s="96"/>
      <c r="I9" s="96"/>
      <c r="J9" s="96"/>
      <c r="K9" s="96"/>
      <c r="L9" s="96"/>
      <c r="M9" s="96"/>
      <c r="N9" s="96"/>
      <c r="O9" s="96"/>
      <c r="P9" s="97"/>
    </row>
    <row r="10" spans="2:16" ht="35" customHeight="1">
      <c r="B10" s="126" t="s">
        <v>53</v>
      </c>
      <c r="C10" s="127"/>
      <c r="D10" s="88" t="s">
        <v>57</v>
      </c>
      <c r="E10" s="95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7"/>
    </row>
    <row r="11" spans="2:16" ht="35" customHeight="1">
      <c r="B11" s="126" t="s">
        <v>54</v>
      </c>
      <c r="C11" s="127"/>
      <c r="D11" s="88" t="s">
        <v>58</v>
      </c>
      <c r="E11" s="95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7"/>
    </row>
    <row r="12" spans="2:16" ht="35" customHeight="1" thickBot="1">
      <c r="B12" s="128"/>
      <c r="C12" s="129"/>
      <c r="D12" s="89"/>
      <c r="E12" s="98"/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100"/>
    </row>
    <row r="13" spans="2:16" ht="15" thickBot="1"/>
    <row r="14" spans="2:16" ht="20" customHeight="1">
      <c r="B14" s="101" t="s">
        <v>40</v>
      </c>
      <c r="C14" s="91" t="s">
        <v>59</v>
      </c>
    </row>
    <row r="15" spans="2:16" ht="20" customHeight="1">
      <c r="B15" s="102" t="s">
        <v>42</v>
      </c>
      <c r="C15" s="91" t="s">
        <v>60</v>
      </c>
    </row>
    <row r="16" spans="2:16" ht="20" customHeight="1">
      <c r="B16" s="102" t="s">
        <v>41</v>
      </c>
      <c r="C16" s="91" t="s">
        <v>61</v>
      </c>
    </row>
    <row r="17" spans="2:16" ht="20" customHeight="1" thickBot="1">
      <c r="B17" s="103" t="s">
        <v>43</v>
      </c>
      <c r="C17" s="91" t="s">
        <v>62</v>
      </c>
    </row>
    <row r="18" spans="2:16" ht="15" thickBot="1"/>
    <row r="19" spans="2:16" ht="18.5">
      <c r="B19" s="152" t="s">
        <v>63</v>
      </c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</row>
    <row r="20" spans="2:16">
      <c r="B20" s="148" t="s">
        <v>64</v>
      </c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50"/>
    </row>
    <row r="21" spans="2:16">
      <c r="B21" s="148" t="s">
        <v>65</v>
      </c>
      <c r="C21" s="146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50"/>
    </row>
    <row r="22" spans="2:16">
      <c r="B22" s="148" t="s">
        <v>66</v>
      </c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50"/>
    </row>
    <row r="23" spans="2:16">
      <c r="B23" s="148" t="s">
        <v>67</v>
      </c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50"/>
    </row>
    <row r="24" spans="2:16">
      <c r="B24" s="148" t="s">
        <v>68</v>
      </c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50"/>
    </row>
    <row r="25" spans="2:16">
      <c r="B25" s="149" t="s">
        <v>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51"/>
    </row>
  </sheetData>
  <mergeCells count="33">
    <mergeCell ref="B23:P23"/>
    <mergeCell ref="B24:P24"/>
    <mergeCell ref="B25:P25"/>
    <mergeCell ref="B4:P4"/>
    <mergeCell ref="B19:P19"/>
    <mergeCell ref="B20:P20"/>
    <mergeCell ref="B21:P21"/>
    <mergeCell ref="B22:P22"/>
    <mergeCell ref="B2:P2"/>
    <mergeCell ref="B3:C3"/>
    <mergeCell ref="E3:G3"/>
    <mergeCell ref="I3:J3"/>
    <mergeCell ref="K3:M3"/>
    <mergeCell ref="B5:P5"/>
    <mergeCell ref="B6:D6"/>
    <mergeCell ref="E6:E7"/>
    <mergeCell ref="F6:F7"/>
    <mergeCell ref="G6:G7"/>
    <mergeCell ref="H6:H7"/>
    <mergeCell ref="I6:I7"/>
    <mergeCell ref="J6:J7"/>
    <mergeCell ref="K6:K7"/>
    <mergeCell ref="L6:L7"/>
    <mergeCell ref="N6:N7"/>
    <mergeCell ref="O6:O7"/>
    <mergeCell ref="P6:P7"/>
    <mergeCell ref="B7:C7"/>
    <mergeCell ref="B8:C8"/>
    <mergeCell ref="B9:C9"/>
    <mergeCell ref="B10:C10"/>
    <mergeCell ref="B11:C11"/>
    <mergeCell ref="B12:C12"/>
    <mergeCell ref="M6:M7"/>
  </mergeCells>
  <conditionalFormatting sqref="B14:B17">
    <cfRule type="containsText" dxfId="7" priority="1" operator="containsText" text="I">
      <formula>NOT(ISERROR(SEARCH("I",B14)))</formula>
    </cfRule>
    <cfRule type="containsText" dxfId="6" priority="2" operator="containsText" text="C">
      <formula>NOT(ISERROR(SEARCH("C",B14)))</formula>
    </cfRule>
    <cfRule type="containsText" dxfId="5" priority="3" operator="containsText" text="A">
      <formula>NOT(ISERROR(SEARCH("A",B14)))</formula>
    </cfRule>
    <cfRule type="containsText" dxfId="4" priority="4" operator="containsText" text="R">
      <formula>NOT(ISERROR(SEARCH("R",B14)))</formula>
    </cfRule>
  </conditionalFormatting>
  <conditionalFormatting sqref="E8:P12">
    <cfRule type="containsText" dxfId="3" priority="17" operator="containsText" text="I">
      <formula>NOT(ISERROR(SEARCH("I",E8)))</formula>
    </cfRule>
    <cfRule type="containsText" dxfId="2" priority="18" operator="containsText" text="C">
      <formula>NOT(ISERROR(SEARCH("C",E8)))</formula>
    </cfRule>
    <cfRule type="containsText" dxfId="1" priority="19" operator="containsText" text="A">
      <formula>NOT(ISERROR(SEARCH("A",E8)))</formula>
    </cfRule>
    <cfRule type="containsText" dxfId="0" priority="20" operator="containsText" text="R">
      <formula>NOT(ISERROR(SEARCH("R",E8)))</formula>
    </cfRule>
  </conditionalFormatting>
  <dataValidations count="1">
    <dataValidation type="list" allowBlank="1" showInputMessage="1" showErrorMessage="1" sqref="E8:P12" xr:uid="{15FD789B-D55F-4F5D-BB73-334610605AE6}">
      <formula1>$B$14:$B$17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Gantt Chart</vt:lpstr>
      <vt:lpstr>RACI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Vishvambruth Javagal</dc:creator>
  <cp:lastModifiedBy>Vishvambruth Javagal</cp:lastModifiedBy>
  <dcterms:created xsi:type="dcterms:W3CDTF">2026-05-27T10:52:12Z</dcterms:created>
  <dcterms:modified xsi:type="dcterms:W3CDTF">2026-05-29T19:34:19Z</dcterms:modified>
</cp:coreProperties>
</file>