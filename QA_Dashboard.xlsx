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xcel_tutorial\"/>
    </mc:Choice>
  </mc:AlternateContent>
  <xr:revisionPtr revIDLastSave="0" documentId="13_ncr:1_{BFE874A7-F5E4-450E-9445-9453ECEC34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🎯 QA Dashboard" sheetId="1" r:id="rId1"/>
    <sheet name="Bug Tracker" sheetId="2" r:id="rId2"/>
    <sheet name="Test Runs" sheetId="3" r:id="rId3"/>
    <sheet name="Chart Data" sheetId="4" r:id="rId4"/>
    <sheet name="🏆 Tester Scorecard" sheetId="5" r:id="rId5"/>
    <sheet name="📅 Sprint Health" sheetId="6" r:id="rId6"/>
  </sheets>
  <definedNames>
    <definedName name="_xlnm._FilterDatabase" localSheetId="1" hidden="1">'Bug Tracker'!$A$1:$L$201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6" l="1"/>
  <c r="M12" i="6"/>
  <c r="L12" i="6"/>
  <c r="K12" i="6"/>
  <c r="J12" i="6"/>
  <c r="I12" i="6"/>
  <c r="H12" i="6"/>
  <c r="G12" i="6"/>
  <c r="F12" i="6"/>
  <c r="E12" i="6"/>
  <c r="D12" i="6"/>
  <c r="C12" i="6"/>
  <c r="B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N9" i="6"/>
  <c r="M9" i="6"/>
  <c r="L9" i="6"/>
  <c r="K9" i="6"/>
  <c r="J9" i="6"/>
  <c r="I9" i="6"/>
  <c r="H9" i="6"/>
  <c r="G9" i="6"/>
  <c r="F9" i="6"/>
  <c r="E9" i="6"/>
  <c r="D9" i="6"/>
  <c r="C9" i="6"/>
  <c r="B9" i="6"/>
  <c r="N8" i="6"/>
  <c r="M8" i="6"/>
  <c r="L8" i="6"/>
  <c r="K8" i="6"/>
  <c r="J8" i="6"/>
  <c r="I8" i="6"/>
  <c r="H8" i="6"/>
  <c r="G8" i="6"/>
  <c r="F8" i="6"/>
  <c r="E8" i="6"/>
  <c r="D8" i="6"/>
  <c r="C8" i="6"/>
  <c r="B8" i="6"/>
  <c r="N7" i="6"/>
  <c r="M7" i="6"/>
  <c r="L7" i="6"/>
  <c r="K7" i="6"/>
  <c r="J7" i="6"/>
  <c r="I7" i="6"/>
  <c r="H7" i="6"/>
  <c r="G7" i="6"/>
  <c r="F7" i="6"/>
  <c r="E7" i="6"/>
  <c r="D7" i="6"/>
  <c r="C7" i="6"/>
  <c r="B7" i="6"/>
  <c r="N6" i="6"/>
  <c r="M6" i="6"/>
  <c r="L6" i="6"/>
  <c r="K6" i="6"/>
  <c r="J6" i="6"/>
  <c r="I6" i="6"/>
  <c r="H6" i="6"/>
  <c r="G6" i="6"/>
  <c r="F6" i="6"/>
  <c r="E6" i="6"/>
  <c r="D6" i="6"/>
  <c r="C6" i="6"/>
  <c r="B6" i="6"/>
  <c r="N5" i="6"/>
  <c r="M5" i="6"/>
  <c r="L5" i="6"/>
  <c r="K5" i="6"/>
  <c r="J5" i="6"/>
  <c r="I5" i="6"/>
  <c r="H5" i="6"/>
  <c r="G5" i="6"/>
  <c r="F5" i="6"/>
  <c r="E5" i="6"/>
  <c r="D5" i="6"/>
  <c r="C5" i="6"/>
  <c r="B5" i="6"/>
  <c r="T3" i="4"/>
  <c r="T12" i="4" s="1"/>
  <c r="K3" i="4"/>
  <c r="K12" i="4" s="1"/>
  <c r="L3" i="4"/>
  <c r="L12" i="4" s="1"/>
  <c r="M3" i="4"/>
  <c r="M12" i="4" s="1"/>
  <c r="N3" i="4"/>
  <c r="N12" i="4" s="1"/>
  <c r="Z3" i="4"/>
  <c r="Z4" i="4"/>
  <c r="Z5" i="4"/>
  <c r="Z6" i="4"/>
  <c r="W3" i="4"/>
  <c r="W4" i="4"/>
  <c r="W5" i="4"/>
  <c r="W6" i="4"/>
  <c r="W7" i="4"/>
  <c r="W8" i="4"/>
  <c r="Q9" i="4" a="1"/>
  <c r="Q9" i="4" s="1"/>
  <c r="Q8" i="4" a="1"/>
  <c r="Q8" i="4" s="1"/>
  <c r="Q7" i="4" a="1"/>
  <c r="Q7" i="4" s="1"/>
  <c r="Q6" i="4" a="1"/>
  <c r="Q6" i="4" s="1"/>
  <c r="Q5" i="4" a="1"/>
  <c r="Q5" i="4" s="1"/>
  <c r="Q4" i="4" a="1"/>
  <c r="Q4" i="4" s="1"/>
  <c r="Q3" i="4" a="1"/>
  <c r="Q3" i="4" s="1"/>
  <c r="H12" i="4"/>
  <c r="H11" i="4"/>
  <c r="H10" i="4"/>
  <c r="H9" i="4"/>
  <c r="H8" i="4"/>
  <c r="H7" i="4"/>
  <c r="H6" i="4"/>
  <c r="H5" i="4"/>
  <c r="H4" i="4"/>
  <c r="H3" i="4"/>
  <c r="E8" i="4"/>
  <c r="E7" i="4"/>
  <c r="E6" i="4"/>
  <c r="E5" i="4"/>
  <c r="E4" i="4"/>
  <c r="E3" i="4"/>
  <c r="B6" i="4"/>
  <c r="B5" i="4"/>
  <c r="B4" i="4"/>
  <c r="B3" i="4"/>
  <c r="J203" i="2"/>
  <c r="J204" i="2"/>
  <c r="J205" i="2"/>
  <c r="J201" i="2"/>
  <c r="U92" i="1" s="1"/>
  <c r="A3" i="5"/>
  <c r="O12" i="5"/>
  <c r="N12" i="5"/>
  <c r="M12" i="5"/>
  <c r="O11" i="5"/>
  <c r="N11" i="5"/>
  <c r="M11" i="5"/>
  <c r="O10" i="5"/>
  <c r="N10" i="5"/>
  <c r="P10" i="5" s="1"/>
  <c r="Q10" i="5" s="1"/>
  <c r="M10" i="5"/>
  <c r="O9" i="5"/>
  <c r="N9" i="5"/>
  <c r="M9" i="5"/>
  <c r="O8" i="5"/>
  <c r="N8" i="5"/>
  <c r="M8" i="5"/>
  <c r="O7" i="5"/>
  <c r="N7" i="5"/>
  <c r="M7" i="5"/>
  <c r="O6" i="5"/>
  <c r="N6" i="5"/>
  <c r="M6" i="5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2" i="2"/>
  <c r="J3" i="2"/>
  <c r="U86" i="1" s="1"/>
  <c r="J4" i="2"/>
  <c r="J5" i="2"/>
  <c r="J6" i="2"/>
  <c r="J7" i="2"/>
  <c r="J8" i="2"/>
  <c r="U94" i="1" s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U87" i="1" s="1"/>
  <c r="J24" i="2"/>
  <c r="J25" i="2"/>
  <c r="J26" i="2"/>
  <c r="U91" i="1" s="1"/>
  <c r="J27" i="2"/>
  <c r="J28" i="2"/>
  <c r="J29" i="2"/>
  <c r="J30" i="2"/>
  <c r="J31" i="2"/>
  <c r="J32" i="2"/>
  <c r="J33" i="2"/>
  <c r="J34" i="2"/>
  <c r="U85" i="1" s="1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U88" i="1" s="1"/>
  <c r="J50" i="2"/>
  <c r="J51" i="2"/>
  <c r="J52" i="2"/>
  <c r="J53" i="2"/>
  <c r="J54" i="2"/>
  <c r="J55" i="2"/>
  <c r="J56" i="2"/>
  <c r="J57" i="2"/>
  <c r="J58" i="2"/>
  <c r="J59" i="2"/>
  <c r="U93" i="1" s="1"/>
  <c r="J60" i="2"/>
  <c r="J61" i="2"/>
  <c r="J62" i="2"/>
  <c r="J63" i="2"/>
  <c r="J64" i="2"/>
  <c r="J65" i="2"/>
  <c r="J66" i="2"/>
  <c r="J67" i="2"/>
  <c r="J68" i="2"/>
  <c r="J69" i="2"/>
  <c r="J70" i="2"/>
  <c r="U90" i="1" s="1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U89" i="1" s="1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M9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D95" i="1"/>
  <c r="K95" i="1"/>
  <c r="O95" i="1"/>
  <c r="Q95" i="1"/>
  <c r="S95" i="1"/>
  <c r="D96" i="1"/>
  <c r="K96" i="1"/>
  <c r="M96" i="1"/>
  <c r="O96" i="1"/>
  <c r="Q96" i="1"/>
  <c r="S96" i="1"/>
  <c r="D97" i="1"/>
  <c r="K97" i="1"/>
  <c r="M97" i="1"/>
  <c r="O97" i="1"/>
  <c r="Q97" i="1"/>
  <c r="S97" i="1"/>
  <c r="D98" i="1"/>
  <c r="K98" i="1"/>
  <c r="M98" i="1"/>
  <c r="O98" i="1"/>
  <c r="Q98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S85" i="1"/>
  <c r="S86" i="1"/>
  <c r="S87" i="1"/>
  <c r="S88" i="1"/>
  <c r="S89" i="1"/>
  <c r="S90" i="1"/>
  <c r="S91" i="1"/>
  <c r="S92" i="1"/>
  <c r="S93" i="1"/>
  <c r="S94" i="1"/>
  <c r="Q85" i="1"/>
  <c r="Q86" i="1"/>
  <c r="Q87" i="1"/>
  <c r="Q88" i="1"/>
  <c r="Q89" i="1"/>
  <c r="Q90" i="1"/>
  <c r="Q91" i="1"/>
  <c r="Q92" i="1"/>
  <c r="Q93" i="1"/>
  <c r="Q94" i="1"/>
  <c r="O85" i="1"/>
  <c r="O86" i="1"/>
  <c r="O87" i="1"/>
  <c r="O88" i="1"/>
  <c r="O89" i="1"/>
  <c r="O90" i="1"/>
  <c r="O91" i="1"/>
  <c r="O92" i="1"/>
  <c r="O93" i="1"/>
  <c r="O94" i="1"/>
  <c r="M85" i="1"/>
  <c r="M86" i="1"/>
  <c r="M87" i="1"/>
  <c r="M88" i="1"/>
  <c r="M89" i="1"/>
  <c r="M90" i="1"/>
  <c r="M91" i="1"/>
  <c r="M92" i="1"/>
  <c r="M93" i="1"/>
  <c r="M94" i="1"/>
  <c r="K85" i="1"/>
  <c r="K86" i="1"/>
  <c r="K87" i="1"/>
  <c r="K88" i="1"/>
  <c r="K89" i="1"/>
  <c r="K90" i="1"/>
  <c r="K91" i="1"/>
  <c r="K92" i="1"/>
  <c r="K93" i="1"/>
  <c r="K94" i="1"/>
  <c r="D85" i="1"/>
  <c r="D86" i="1"/>
  <c r="D87" i="1"/>
  <c r="D88" i="1"/>
  <c r="D89" i="1"/>
  <c r="D90" i="1"/>
  <c r="D91" i="1"/>
  <c r="D92" i="1"/>
  <c r="D93" i="1"/>
  <c r="D94" i="1"/>
  <c r="T10" i="4"/>
  <c r="T9" i="4"/>
  <c r="T8" i="4"/>
  <c r="T7" i="4"/>
  <c r="T6" i="4"/>
  <c r="T5" i="4"/>
  <c r="T4" i="4"/>
  <c r="N10" i="4"/>
  <c r="N9" i="4"/>
  <c r="N8" i="4"/>
  <c r="N7" i="4"/>
  <c r="N6" i="4"/>
  <c r="N5" i="4"/>
  <c r="N4" i="4"/>
  <c r="M10" i="4"/>
  <c r="M9" i="4"/>
  <c r="M8" i="4"/>
  <c r="M7" i="4"/>
  <c r="M6" i="4"/>
  <c r="M5" i="4"/>
  <c r="M4" i="4"/>
  <c r="L10" i="4"/>
  <c r="L9" i="4"/>
  <c r="L8" i="4"/>
  <c r="L7" i="4"/>
  <c r="L6" i="4"/>
  <c r="L5" i="4"/>
  <c r="L4" i="4"/>
  <c r="K10" i="4"/>
  <c r="K9" i="4"/>
  <c r="K8" i="4"/>
  <c r="K7" i="4"/>
  <c r="K6" i="4"/>
  <c r="K5" i="4"/>
  <c r="K4" i="4"/>
  <c r="B4" i="1"/>
  <c r="V7" i="1"/>
  <c r="N7" i="1"/>
  <c r="J7" i="1"/>
  <c r="F7" i="1"/>
  <c r="B7" i="1"/>
  <c r="W10" i="4" l="1"/>
  <c r="Q11" i="4"/>
  <c r="Z8" i="4"/>
  <c r="E10" i="4"/>
  <c r="B8" i="4"/>
  <c r="H14" i="4"/>
  <c r="P9" i="5"/>
  <c r="Q9" i="5" s="1"/>
  <c r="P11" i="5"/>
  <c r="Q11" i="5" s="1"/>
  <c r="P8" i="5"/>
  <c r="Q8" i="5" s="1"/>
  <c r="P7" i="5"/>
  <c r="Q7" i="5" s="1"/>
  <c r="P12" i="5"/>
  <c r="Q12" i="5" s="1"/>
  <c r="P6" i="5"/>
  <c r="R7" i="1" a="1"/>
  <c r="R7" i="1" s="1"/>
  <c r="F10" i="5" l="1"/>
  <c r="D8" i="5"/>
  <c r="E12" i="5"/>
  <c r="C6" i="5"/>
  <c r="B9" i="5"/>
  <c r="D10" i="5"/>
  <c r="D12" i="5"/>
  <c r="B12" i="5"/>
  <c r="F9" i="5"/>
  <c r="E7" i="5"/>
  <c r="G6" i="5"/>
  <c r="D7" i="5"/>
  <c r="F11" i="5"/>
  <c r="F8" i="5"/>
  <c r="E9" i="5"/>
  <c r="C7" i="5"/>
  <c r="B10" i="5"/>
  <c r="E11" i="5"/>
  <c r="G7" i="5"/>
  <c r="E8" i="5"/>
  <c r="C9" i="5"/>
  <c r="B6" i="5"/>
  <c r="C10" i="5"/>
  <c r="F6" i="5"/>
  <c r="D11" i="5"/>
  <c r="C12" i="5"/>
  <c r="D6" i="5"/>
  <c r="E10" i="5"/>
  <c r="B11" i="5"/>
  <c r="G8" i="5"/>
  <c r="C8" i="5"/>
  <c r="E6" i="5"/>
  <c r="G10" i="5"/>
  <c r="G12" i="5"/>
  <c r="B8" i="5"/>
  <c r="G9" i="5"/>
  <c r="F12" i="5"/>
  <c r="D9" i="5"/>
  <c r="B7" i="5"/>
  <c r="C11" i="5"/>
  <c r="Q6" i="5"/>
  <c r="G11" i="5" s="1"/>
  <c r="F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<sst xmlns="http://schemas.openxmlformats.org/spreadsheetml/2006/main" count="2397" uniqueCount="584">
  <si>
    <t>🐞  SOFTWARE QUALITY ASSURANCE DASHBOARD</t>
  </si>
  <si>
    <t>🐛</t>
  </si>
  <si>
    <t>🔴</t>
  </si>
  <si>
    <t>✅</t>
  </si>
  <si>
    <t>💀</t>
  </si>
  <si>
    <t>⏱️</t>
  </si>
  <si>
    <t>🎯</t>
  </si>
  <si>
    <t>TOTAL BUGS</t>
  </si>
  <si>
    <t>PASS RATE</t>
  </si>
  <si>
    <t>AVG DAYS OPEN</t>
  </si>
  <si>
    <t>DRE</t>
  </si>
  <si>
    <t>All Sprints</t>
  </si>
  <si>
    <t>Need Attention</t>
  </si>
  <si>
    <t>P0 Issues</t>
  </si>
  <si>
    <t>Days per Bug</t>
  </si>
  <si>
    <t>Defect Removal</t>
  </si>
  <si>
    <t xml:space="preserve">  📊  BUG SEVERITY DISTRIBUTION</t>
  </si>
  <si>
    <t xml:space="preserve">  📊  BUG STATUS OVERVIEW</t>
  </si>
  <si>
    <t xml:space="preserve">  📈  BUGS BY MODULE (TOP 10)</t>
  </si>
  <si>
    <t xml:space="preserve">  📈  SPRINT TEST EXECUTION</t>
  </si>
  <si>
    <t xml:space="preserve">  📉  MONTHLY BUG TREND</t>
  </si>
  <si>
    <t xml:space="preserve">  📉  DEFECT REMOVAL EFFICIENCY</t>
  </si>
  <si>
    <t xml:space="preserve">  🚨  TOP OPEN / CRITICAL BUGS — Immediate Action Required</t>
  </si>
  <si>
    <t>Bug ID</t>
  </si>
  <si>
    <t>Title</t>
  </si>
  <si>
    <t>Severity</t>
  </si>
  <si>
    <t>Status</t>
  </si>
  <si>
    <t>Module</t>
  </si>
  <si>
    <t>Tester</t>
  </si>
  <si>
    <t>Sprint</t>
  </si>
  <si>
    <t>Days Open</t>
  </si>
  <si>
    <t>BUG-0033</t>
  </si>
  <si>
    <t>High</t>
  </si>
  <si>
    <t>Open</t>
  </si>
  <si>
    <t>Search</t>
  </si>
  <si>
    <t>Sprint 7</t>
  </si>
  <si>
    <t>BUG-0002</t>
  </si>
  <si>
    <t>Critical</t>
  </si>
  <si>
    <t>In Progress</t>
  </si>
  <si>
    <t>Export</t>
  </si>
  <si>
    <t>BUG-0022</t>
  </si>
  <si>
    <t>Sprint 1</t>
  </si>
  <si>
    <t>BUG-0048</t>
  </si>
  <si>
    <t>Reopened</t>
  </si>
  <si>
    <t>Sprint 2</t>
  </si>
  <si>
    <t>BUG-0151</t>
  </si>
  <si>
    <t>Dashboard</t>
  </si>
  <si>
    <t>Sprint 5</t>
  </si>
  <si>
    <t>BUG-0069</t>
  </si>
  <si>
    <t>Sprint 3</t>
  </si>
  <si>
    <t>BUG-0025</t>
  </si>
  <si>
    <t>Reports</t>
  </si>
  <si>
    <t>BUG-0200</t>
  </si>
  <si>
    <t>API Gateway</t>
  </si>
  <si>
    <t>Sprint 8</t>
  </si>
  <si>
    <t>BUG-0058</t>
  </si>
  <si>
    <t>Payment</t>
  </si>
  <si>
    <t>BUG-0007</t>
  </si>
  <si>
    <t>Sprint 4</t>
  </si>
  <si>
    <t>Assigned Tester</t>
  </si>
  <si>
    <t>Created</t>
  </si>
  <si>
    <t>Resolved</t>
  </si>
  <si>
    <t>Test Type</t>
  </si>
  <si>
    <t>Environment</t>
  </si>
  <si>
    <t>BUG-0001</t>
  </si>
  <si>
    <t>Closed</t>
  </si>
  <si>
    <t>Frank Liu</t>
  </si>
  <si>
    <t>13-Mar-2026</t>
  </si>
  <si>
    <t>17-Mar-2026</t>
  </si>
  <si>
    <t>UAT</t>
  </si>
  <si>
    <t>Pre-Prod</t>
  </si>
  <si>
    <t>Bob Martinez</t>
  </si>
  <si>
    <t>09-Oct-2025</t>
  </si>
  <si>
    <t>—</t>
  </si>
  <si>
    <t>Integration</t>
  </si>
  <si>
    <t>BUG-0003</t>
  </si>
  <si>
    <t>User Mgmt</t>
  </si>
  <si>
    <t>28-Feb-2026</t>
  </si>
  <si>
    <t>Regression</t>
  </si>
  <si>
    <t>Dev</t>
  </si>
  <si>
    <t>BUG-0004</t>
  </si>
  <si>
    <t>Medium</t>
  </si>
  <si>
    <t>Fixed</t>
  </si>
  <si>
    <t>Login</t>
  </si>
  <si>
    <t>24-Oct-2025</t>
  </si>
  <si>
    <t>30-Oct-2025</t>
  </si>
  <si>
    <t>BUG-0005</t>
  </si>
  <si>
    <t>05-Jan-2026</t>
  </si>
  <si>
    <t>16-Jan-2026</t>
  </si>
  <si>
    <t>Unit</t>
  </si>
  <si>
    <t>QA</t>
  </si>
  <si>
    <t>BUG-0006</t>
  </si>
  <si>
    <t>David Kim</t>
  </si>
  <si>
    <t>Sprint 6</t>
  </si>
  <si>
    <t>16-Apr-2026</t>
  </si>
  <si>
    <t>Staging</t>
  </si>
  <si>
    <t>Emma Johnson</t>
  </si>
  <si>
    <t>30-Dec-2025</t>
  </si>
  <si>
    <t>BUG-0008</t>
  </si>
  <si>
    <t>Grace Patel</t>
  </si>
  <si>
    <t>06-Jan-2026</t>
  </si>
  <si>
    <t>18-Jan-2026</t>
  </si>
  <si>
    <t>BUG-0009</t>
  </si>
  <si>
    <t>20-Dec-2025</t>
  </si>
  <si>
    <t>BUG-0010</t>
  </si>
  <si>
    <t>Verified</t>
  </si>
  <si>
    <t>Notifications</t>
  </si>
  <si>
    <t>Carol Singh</t>
  </si>
  <si>
    <t>05-Nov-2025</t>
  </si>
  <si>
    <t>10-Nov-2025</t>
  </si>
  <si>
    <t>BUG-0011</t>
  </si>
  <si>
    <t>Low</t>
  </si>
  <si>
    <t>27-Oct-2025</t>
  </si>
  <si>
    <t>BUG-0012</t>
  </si>
  <si>
    <t>13-Feb-2026</t>
  </si>
  <si>
    <t>14-Feb-2026</t>
  </si>
  <si>
    <t>BUG-0013</t>
  </si>
  <si>
    <t>20-Jan-2026</t>
  </si>
  <si>
    <t>Performance</t>
  </si>
  <si>
    <t>BUG-0014</t>
  </si>
  <si>
    <t>Alice Chen</t>
  </si>
  <si>
    <t>Smoke</t>
  </si>
  <si>
    <t>BUG-0015</t>
  </si>
  <si>
    <t>29-Oct-2025</t>
  </si>
  <si>
    <t>12-Nov-2025</t>
  </si>
  <si>
    <t>BUG-0016</t>
  </si>
  <si>
    <t>18-Oct-2025</t>
  </si>
  <si>
    <t>21-Oct-2025</t>
  </si>
  <si>
    <t>BUG-0017</t>
  </si>
  <si>
    <t>01-Apr-2026</t>
  </si>
  <si>
    <t>BUG-0018</t>
  </si>
  <si>
    <t>26-Dec-2025</t>
  </si>
  <si>
    <t>BUG-0019</t>
  </si>
  <si>
    <t>Admin Panel</t>
  </si>
  <si>
    <t>19-Oct-2025</t>
  </si>
  <si>
    <t>BUG-0020</t>
  </si>
  <si>
    <t>13-Jan-2026</t>
  </si>
  <si>
    <t>BUG-0021</t>
  </si>
  <si>
    <t>16-Oct-2025</t>
  </si>
  <si>
    <t>16-Nov-2025</t>
  </si>
  <si>
    <t>BUG-0023</t>
  </si>
  <si>
    <t>BUG-0024</t>
  </si>
  <si>
    <t>19-Jan-2026</t>
  </si>
  <si>
    <t>15-Dec-2025</t>
  </si>
  <si>
    <t>BUG-0026</t>
  </si>
  <si>
    <t>06-Feb-2026</t>
  </si>
  <si>
    <t>07-Feb-2026</t>
  </si>
  <si>
    <t>BUG-0027</t>
  </si>
  <si>
    <t>12-Jan-2026</t>
  </si>
  <si>
    <t>BUG-0028</t>
  </si>
  <si>
    <t>06-Dec-2025</t>
  </si>
  <si>
    <t>10-Dec-2025</t>
  </si>
  <si>
    <t>BUG-0029</t>
  </si>
  <si>
    <t>26-Jan-2026</t>
  </si>
  <si>
    <t>28-Jan-2026</t>
  </si>
  <si>
    <t>BUG-0030</t>
  </si>
  <si>
    <t>02-Dec-2025</t>
  </si>
  <si>
    <t>BUG-0031</t>
  </si>
  <si>
    <t>04-Nov-2025</t>
  </si>
  <si>
    <t>BUG-0032</t>
  </si>
  <si>
    <t>22-Nov-2025</t>
  </si>
  <si>
    <t>01-Dec-2025</t>
  </si>
  <si>
    <t>01-Oct-2025</t>
  </si>
  <si>
    <t>BUG-0034</t>
  </si>
  <si>
    <t>01-Nov-2025</t>
  </si>
  <si>
    <t>BUG-0035</t>
  </si>
  <si>
    <t>11-Oct-2025</t>
  </si>
  <si>
    <t>BUG-0036</t>
  </si>
  <si>
    <t>08-Mar-2026</t>
  </si>
  <si>
    <t>12-Mar-2026</t>
  </si>
  <si>
    <t>BUG-0037</t>
  </si>
  <si>
    <t>08-Dec-2025</t>
  </si>
  <si>
    <t>BUG-0038</t>
  </si>
  <si>
    <t>28-Nov-2025</t>
  </si>
  <si>
    <t>05-Dec-2025</t>
  </si>
  <si>
    <t>BUG-0039</t>
  </si>
  <si>
    <t>23-Mar-2026</t>
  </si>
  <si>
    <t>24-Mar-2026</t>
  </si>
  <si>
    <t>BUG-0040</t>
  </si>
  <si>
    <t>28-Dec-2025</t>
  </si>
  <si>
    <t>07-Jan-2026</t>
  </si>
  <si>
    <t>BUG-0041</t>
  </si>
  <si>
    <t>12-Oct-2025</t>
  </si>
  <si>
    <t>BUG-0042</t>
  </si>
  <si>
    <t>19-Mar-2026</t>
  </si>
  <si>
    <t>BUG-0043</t>
  </si>
  <si>
    <t>19-Feb-2026</t>
  </si>
  <si>
    <t>26-Feb-2026</t>
  </si>
  <si>
    <t>BUG-0044</t>
  </si>
  <si>
    <t>23-Nov-2025</t>
  </si>
  <si>
    <t>04-Dec-2025</t>
  </si>
  <si>
    <t>BUG-0045</t>
  </si>
  <si>
    <t>07-Apr-2026</t>
  </si>
  <si>
    <t>BUG-0046</t>
  </si>
  <si>
    <t>27-Nov-2025</t>
  </si>
  <si>
    <t>BUG-0047</t>
  </si>
  <si>
    <t>11-Mar-2026</t>
  </si>
  <si>
    <t>18-Mar-2026</t>
  </si>
  <si>
    <t>26-Nov-2025</t>
  </si>
  <si>
    <t>BUG-0049</t>
  </si>
  <si>
    <t>27-Jan-2026</t>
  </si>
  <si>
    <t>BUG-0050</t>
  </si>
  <si>
    <t>15-Nov-2025</t>
  </si>
  <si>
    <t>BUG-0051</t>
  </si>
  <si>
    <t>20-Oct-2025</t>
  </si>
  <si>
    <t>BUG-0052</t>
  </si>
  <si>
    <t>27-Mar-2026</t>
  </si>
  <si>
    <t>BUG-0053</t>
  </si>
  <si>
    <t>BUG-0054</t>
  </si>
  <si>
    <t>29-Jan-2026</t>
  </si>
  <si>
    <t>BUG-0055</t>
  </si>
  <si>
    <t>08-Jan-2026</t>
  </si>
  <si>
    <t>15-Jan-2026</t>
  </si>
  <si>
    <t>BUG-0056</t>
  </si>
  <si>
    <t>22-Oct-2025</t>
  </si>
  <si>
    <t>BUG-0057</t>
  </si>
  <si>
    <t>23-Dec-2025</t>
  </si>
  <si>
    <t>29-Dec-2025</t>
  </si>
  <si>
    <t>BUG-0059</t>
  </si>
  <si>
    <t>11-Dec-2025</t>
  </si>
  <si>
    <t>BUG-0060</t>
  </si>
  <si>
    <t>18-Apr-2026</t>
  </si>
  <si>
    <t>BUG-0061</t>
  </si>
  <si>
    <t>BUG-0062</t>
  </si>
  <si>
    <t>BUG-0063</t>
  </si>
  <si>
    <t>01-Jan-2026</t>
  </si>
  <si>
    <t>BUG-0064</t>
  </si>
  <si>
    <t>02-Feb-2026</t>
  </si>
  <si>
    <t>BUG-0065</t>
  </si>
  <si>
    <t>23-Feb-2026</t>
  </si>
  <si>
    <t>24-Feb-2026</t>
  </si>
  <si>
    <t>BUG-0066</t>
  </si>
  <si>
    <t>16-Dec-2025</t>
  </si>
  <si>
    <t>BUG-0067</t>
  </si>
  <si>
    <t>03-Feb-2026</t>
  </si>
  <si>
    <t>BUG-0068</t>
  </si>
  <si>
    <t>02-Apr-2026</t>
  </si>
  <si>
    <t>09-Dec-2025</t>
  </si>
  <si>
    <t>BUG-0070</t>
  </si>
  <si>
    <t>08-Apr-2026</t>
  </si>
  <si>
    <t>21-Apr-2026</t>
  </si>
  <si>
    <t>BUG-0071</t>
  </si>
  <si>
    <t>BUG-0072</t>
  </si>
  <si>
    <t>BUG-0073</t>
  </si>
  <si>
    <t>14-Oct-2025</t>
  </si>
  <si>
    <t>BUG-0074</t>
  </si>
  <si>
    <t>22-Feb-2026</t>
  </si>
  <si>
    <t>BUG-0075</t>
  </si>
  <si>
    <t>24-Jan-2026</t>
  </si>
  <si>
    <t>BUG-0076</t>
  </si>
  <si>
    <t>07-Dec-2025</t>
  </si>
  <si>
    <t>BUG-0077</t>
  </si>
  <si>
    <t>14-Dec-2025</t>
  </si>
  <si>
    <t>19-Dec-2025</t>
  </si>
  <si>
    <t>BUG-0078</t>
  </si>
  <si>
    <t>17-Feb-2026</t>
  </si>
  <si>
    <t>BUG-0079</t>
  </si>
  <si>
    <t>21-Jan-2026</t>
  </si>
  <si>
    <t>BUG-0080</t>
  </si>
  <si>
    <t>BUG-0081</t>
  </si>
  <si>
    <t>25-Feb-2026</t>
  </si>
  <si>
    <t>05-Mar-2026</t>
  </si>
  <si>
    <t>BUG-0082</t>
  </si>
  <si>
    <t>BUG-0083</t>
  </si>
  <si>
    <t>13-Apr-2026</t>
  </si>
  <si>
    <t>19-Apr-2026</t>
  </si>
  <si>
    <t>BUG-0084</t>
  </si>
  <si>
    <t>14-Jan-2026</t>
  </si>
  <si>
    <t>BUG-0085</t>
  </si>
  <si>
    <t>13-Dec-2025</t>
  </si>
  <si>
    <t>BUG-0086</t>
  </si>
  <si>
    <t>BUG-0087</t>
  </si>
  <si>
    <t>BUG-0088</t>
  </si>
  <si>
    <t>25-Oct-2025</t>
  </si>
  <si>
    <t>BUG-0089</t>
  </si>
  <si>
    <t>08-Nov-2025</t>
  </si>
  <si>
    <t>14-Nov-2025</t>
  </si>
  <si>
    <t>BUG-0090</t>
  </si>
  <si>
    <t>03-Mar-2026</t>
  </si>
  <si>
    <t>BUG-0091</t>
  </si>
  <si>
    <t>04-Feb-2026</t>
  </si>
  <si>
    <t>BUG-0092</t>
  </si>
  <si>
    <t>04-Oct-2025</t>
  </si>
  <si>
    <t>15-Oct-2025</t>
  </si>
  <si>
    <t>BUG-0093</t>
  </si>
  <si>
    <t>24-Dec-2025</t>
  </si>
  <si>
    <t>31-Dec-2025</t>
  </si>
  <si>
    <t>BUG-0094</t>
  </si>
  <si>
    <t>30-Nov-2025</t>
  </si>
  <si>
    <t>BUG-0095</t>
  </si>
  <si>
    <t>BUG-0096</t>
  </si>
  <si>
    <t>BUG-0097</t>
  </si>
  <si>
    <t>31-Jan-2026</t>
  </si>
  <si>
    <t>BUG-0098</t>
  </si>
  <si>
    <t>25-Jan-2026</t>
  </si>
  <si>
    <t>BUG-0099</t>
  </si>
  <si>
    <t>29-Mar-2026</t>
  </si>
  <si>
    <t>BUG-0100</t>
  </si>
  <si>
    <t>BUG-0101</t>
  </si>
  <si>
    <t>10-Mar-2026</t>
  </si>
  <si>
    <t>BUG-0102</t>
  </si>
  <si>
    <t>BUG-0103</t>
  </si>
  <si>
    <t>01-Feb-2026</t>
  </si>
  <si>
    <t>15-Feb-2026</t>
  </si>
  <si>
    <t>BUG-0104</t>
  </si>
  <si>
    <t>20-Feb-2026</t>
  </si>
  <si>
    <t>21-Feb-2026</t>
  </si>
  <si>
    <t>BUG-0105</t>
  </si>
  <si>
    <t>BUG-0106</t>
  </si>
  <si>
    <t>15-Mar-2026</t>
  </si>
  <si>
    <t>BUG-0107</t>
  </si>
  <si>
    <t>02-Nov-2025</t>
  </si>
  <si>
    <t>BUG-0108</t>
  </si>
  <si>
    <t>08-Feb-2026</t>
  </si>
  <si>
    <t>BUG-0109</t>
  </si>
  <si>
    <t>25-Mar-2026</t>
  </si>
  <si>
    <t>05-Apr-2026</t>
  </si>
  <si>
    <t>BUG-0110</t>
  </si>
  <si>
    <t>20-Mar-2026</t>
  </si>
  <si>
    <t>BUG-0111</t>
  </si>
  <si>
    <t>06-Mar-2026</t>
  </si>
  <si>
    <t>BUG-0112</t>
  </si>
  <si>
    <t>17-Nov-2025</t>
  </si>
  <si>
    <t>BUG-0113</t>
  </si>
  <si>
    <t>BUG-0114</t>
  </si>
  <si>
    <t>BUG-0115</t>
  </si>
  <si>
    <t>BUG-0116</t>
  </si>
  <si>
    <t>09-Mar-2026</t>
  </si>
  <si>
    <t>BUG-0117</t>
  </si>
  <si>
    <t>BUG-0118</t>
  </si>
  <si>
    <t>BUG-0119</t>
  </si>
  <si>
    <t>BUG-0120</t>
  </si>
  <si>
    <t>BUG-0121</t>
  </si>
  <si>
    <t>09-Nov-2025</t>
  </si>
  <si>
    <t>BUG-0122</t>
  </si>
  <si>
    <t>BUG-0123</t>
  </si>
  <si>
    <t>BUG-0124</t>
  </si>
  <si>
    <t>BUG-0125</t>
  </si>
  <si>
    <t>BUG-0126</t>
  </si>
  <si>
    <t>BUG-0127</t>
  </si>
  <si>
    <t>06-Nov-2025</t>
  </si>
  <si>
    <t>BUG-0128</t>
  </si>
  <si>
    <t>17-Dec-2025</t>
  </si>
  <si>
    <t>BUG-0129</t>
  </si>
  <si>
    <t>18-Nov-2025</t>
  </si>
  <si>
    <t>BUG-0130</t>
  </si>
  <si>
    <t>BUG-0131</t>
  </si>
  <si>
    <t>BUG-0132</t>
  </si>
  <si>
    <t>BUG-0133</t>
  </si>
  <si>
    <t>BUG-0134</t>
  </si>
  <si>
    <t>04-Mar-2026</t>
  </si>
  <si>
    <t>BUG-0135</t>
  </si>
  <si>
    <t>BUG-0136</t>
  </si>
  <si>
    <t>BUG-0137</t>
  </si>
  <si>
    <t>BUG-0138</t>
  </si>
  <si>
    <t>27-Dec-2025</t>
  </si>
  <si>
    <t>BUG-0139</t>
  </si>
  <si>
    <t>12-Dec-2025</t>
  </si>
  <si>
    <t>BUG-0140</t>
  </si>
  <si>
    <t>22-Dec-2025</t>
  </si>
  <si>
    <t>BUG-0141</t>
  </si>
  <si>
    <t>BUG-0142</t>
  </si>
  <si>
    <t>16-Mar-2026</t>
  </si>
  <si>
    <t>BUG-0143</t>
  </si>
  <si>
    <t>BUG-0144</t>
  </si>
  <si>
    <t>15-Apr-2026</t>
  </si>
  <si>
    <t>BUG-0145</t>
  </si>
  <si>
    <t>BUG-0146</t>
  </si>
  <si>
    <t>19-Nov-2025</t>
  </si>
  <si>
    <t>BUG-0147</t>
  </si>
  <si>
    <t>BUG-0148</t>
  </si>
  <si>
    <t>14-Apr-2026</t>
  </si>
  <si>
    <t>23-Apr-2026</t>
  </si>
  <si>
    <t>BUG-0149</t>
  </si>
  <si>
    <t>BUG-0150</t>
  </si>
  <si>
    <t>07-Nov-2025</t>
  </si>
  <si>
    <t>21-Nov-2025</t>
  </si>
  <si>
    <t>BUG-0152</t>
  </si>
  <si>
    <t>BUG-0153</t>
  </si>
  <si>
    <t>BUG-0154</t>
  </si>
  <si>
    <t>BUG-0155</t>
  </si>
  <si>
    <t>BUG-0156</t>
  </si>
  <si>
    <t>BUG-0157</t>
  </si>
  <si>
    <t>28-Mar-2026</t>
  </si>
  <si>
    <t>BUG-0158</t>
  </si>
  <si>
    <t>BUG-0159</t>
  </si>
  <si>
    <t>BUG-0160</t>
  </si>
  <si>
    <t>BUG-0161</t>
  </si>
  <si>
    <t>BUG-0162</t>
  </si>
  <si>
    <t>18-Dec-2025</t>
  </si>
  <si>
    <t>21-Dec-2025</t>
  </si>
  <si>
    <t>BUG-0163</t>
  </si>
  <si>
    <t>BUG-0164</t>
  </si>
  <si>
    <t>BUG-0165</t>
  </si>
  <si>
    <t>BUG-0166</t>
  </si>
  <si>
    <t>10-Jan-2026</t>
  </si>
  <si>
    <t>BUG-0167</t>
  </si>
  <si>
    <t>30-Mar-2026</t>
  </si>
  <si>
    <t>BUG-0168</t>
  </si>
  <si>
    <t>BUG-0169</t>
  </si>
  <si>
    <t>04-Apr-2026</t>
  </si>
  <si>
    <t>BUG-0170</t>
  </si>
  <si>
    <t>07-Oct-2025</t>
  </si>
  <si>
    <t>BUG-0171</t>
  </si>
  <si>
    <t>12-Feb-2026</t>
  </si>
  <si>
    <t>BUG-0172</t>
  </si>
  <si>
    <t>13-Nov-2025</t>
  </si>
  <si>
    <t>BUG-0173</t>
  </si>
  <si>
    <t>BUG-0174</t>
  </si>
  <si>
    <t>BUG-0175</t>
  </si>
  <si>
    <t>BUG-0176</t>
  </si>
  <si>
    <t>26-Mar-2026</t>
  </si>
  <si>
    <t>BUG-0177</t>
  </si>
  <si>
    <t>06-Apr-2026</t>
  </si>
  <si>
    <t>BUG-0178</t>
  </si>
  <si>
    <t>BUG-0179</t>
  </si>
  <si>
    <t>BUG-0180</t>
  </si>
  <si>
    <t>BUG-0181</t>
  </si>
  <si>
    <t>28-Oct-2025</t>
  </si>
  <si>
    <t>BUG-0182</t>
  </si>
  <si>
    <t>BUG-0183</t>
  </si>
  <si>
    <t>11-Jan-2026</t>
  </si>
  <si>
    <t>17-Jan-2026</t>
  </si>
  <si>
    <t>BUG-0184</t>
  </si>
  <si>
    <t>BUG-0185</t>
  </si>
  <si>
    <t>BUG-0186</t>
  </si>
  <si>
    <t>BUG-0187</t>
  </si>
  <si>
    <t>BUG-0188</t>
  </si>
  <si>
    <t>BUG-0189</t>
  </si>
  <si>
    <t>27-Feb-2026</t>
  </si>
  <si>
    <t>BUG-0190</t>
  </si>
  <si>
    <t>BUG-0191</t>
  </si>
  <si>
    <t>10-Feb-2026</t>
  </si>
  <si>
    <t>BUG-0192</t>
  </si>
  <si>
    <t>01-Mar-2026</t>
  </si>
  <si>
    <t>BUG-0193</t>
  </si>
  <si>
    <t>BUG-0194</t>
  </si>
  <si>
    <t>BUG-0195</t>
  </si>
  <si>
    <t>09-Jan-2026</t>
  </si>
  <si>
    <t>BUG-0196</t>
  </si>
  <si>
    <t>07-Mar-2026</t>
  </si>
  <si>
    <t>BUG-0197</t>
  </si>
  <si>
    <t>BUG-0198</t>
  </si>
  <si>
    <t>12-Apr-2026</t>
  </si>
  <si>
    <t>BUG-0199</t>
  </si>
  <si>
    <t>25-Dec-2025</t>
  </si>
  <si>
    <t>Total Tests</t>
  </si>
  <si>
    <t>Passed</t>
  </si>
  <si>
    <t>Failed</t>
  </si>
  <si>
    <t>Blocked</t>
  </si>
  <si>
    <t>Pass Rate %</t>
  </si>
  <si>
    <t>Count</t>
  </si>
  <si>
    <t>Bugs</t>
  </si>
  <si>
    <t>Pass Rate</t>
  </si>
  <si>
    <t>Bugs Opened</t>
  </si>
  <si>
    <t>DRE %</t>
  </si>
  <si>
    <t>Nov 2025</t>
  </si>
  <si>
    <t>Dec 2025</t>
  </si>
  <si>
    <t>Jan 2026</t>
  </si>
  <si>
    <t>Feb 2026</t>
  </si>
  <si>
    <t>Mar 2026</t>
  </si>
  <si>
    <t>Apr 2026</t>
  </si>
  <si>
    <t>🏆  QA TESTER PERFORMANCE SCORECARD</t>
  </si>
  <si>
    <t>Rank</t>
  </si>
  <si>
    <t>Tester Name</t>
  </si>
  <si>
    <t>Bugs Assigned</t>
  </si>
  <si>
    <t>Closed/Fixed</t>
  </si>
  <si>
    <t>Critical Found</t>
  </si>
  <si>
    <t>Close Rate %</t>
  </si>
  <si>
    <t>📅  SPRINT-BY-SPRINT HEALTH TRACKER</t>
  </si>
  <si>
    <t>Total Bugs</t>
  </si>
  <si>
    <t>Bugs Closed</t>
  </si>
  <si>
    <t>Health</t>
  </si>
  <si>
    <t>📊 CHART DATA - QA DASHBOARD SOURCE</t>
  </si>
  <si>
    <t>🔴 Severity</t>
  </si>
  <si>
    <t>📊 Status</t>
  </si>
  <si>
    <t>📦 Module</t>
  </si>
  <si>
    <t>🏃 Sprint</t>
  </si>
  <si>
    <t>📅 Month</t>
  </si>
  <si>
    <t>🎯 Sprint</t>
  </si>
  <si>
    <t>TOTAL</t>
  </si>
  <si>
    <t>AVERAGE</t>
  </si>
  <si>
    <t>TOTAL/AVG</t>
  </si>
  <si>
    <t>🧪 Test Type</t>
  </si>
  <si>
    <t>🌐 Environment</t>
  </si>
  <si>
    <t>Rate</t>
  </si>
  <si>
    <t>Perf</t>
  </si>
  <si>
    <t>OPEN BUGS 
(Status: Open, In Progress, Reopened)</t>
  </si>
  <si>
    <t>CRITICAL 
(Status: Open, In Progress, Reopened)</t>
  </si>
  <si>
    <t>Oct 2025</t>
  </si>
  <si>
    <t xml:space="preserve">  📊  BUGS BY TEST TYPE</t>
  </si>
  <si>
    <t xml:space="preserve">  📊  BUGS BY ENVIRONMENT</t>
  </si>
  <si>
    <t>[Payment] 500 error</t>
  </si>
  <si>
    <t>[Export] Memory leak</t>
  </si>
  <si>
    <t>[API Gateway] Wrong calculation</t>
  </si>
  <si>
    <t>[Admin Panel] Timeout</t>
  </si>
  <si>
    <t>[Admin Panel] Crash on load</t>
  </si>
  <si>
    <t>[Payment] UI misalignment</t>
  </si>
  <si>
    <t>[Dashboard] Memory leak</t>
  </si>
  <si>
    <t>[Export] Data mismatch</t>
  </si>
  <si>
    <t>[Admin Panel] Wrong calculation</t>
  </si>
  <si>
    <t>[Dashboard] Broken link</t>
  </si>
  <si>
    <t>[User Mgmt] Broken link</t>
  </si>
  <si>
    <t>[Reports] 500 error</t>
  </si>
  <si>
    <t>[User Mgmt] Data mismatch</t>
  </si>
  <si>
    <t>[API Gateway] Missing validation</t>
  </si>
  <si>
    <t>[Reports] Missing validation</t>
  </si>
  <si>
    <t>[Payment] NullPointerException</t>
  </si>
  <si>
    <t>[Payment] Broken link</t>
  </si>
  <si>
    <t>[Notifications] Crash on load</t>
  </si>
  <si>
    <t>[Dashboard] Data mismatch</t>
  </si>
  <si>
    <t>[Dashboard] Missing validation</t>
  </si>
  <si>
    <t>[Notifications] Missing validation</t>
  </si>
  <si>
    <t>[Search] Timeout</t>
  </si>
  <si>
    <t>[Export] NullPointerException</t>
  </si>
  <si>
    <t>[Export] UI misalignment</t>
  </si>
  <si>
    <t>[Admin Panel] Memory leak</t>
  </si>
  <si>
    <t>[User Mgmt] Wrong calculation</t>
  </si>
  <si>
    <t>[Export] Timeout</t>
  </si>
  <si>
    <t>[Export] 500 error</t>
  </si>
  <si>
    <t>[User Mgmt] 500 error</t>
  </si>
  <si>
    <t>[Login] Crash on load</t>
  </si>
  <si>
    <t>[API Gateway] 500 error</t>
  </si>
  <si>
    <t>[Login] Missing validation</t>
  </si>
  <si>
    <t>[Reports] Timeout</t>
  </si>
  <si>
    <t>[Dashboard] Timeout</t>
  </si>
  <si>
    <t>[Payment] Crash on load</t>
  </si>
  <si>
    <t>[API Gateway] Memory leak</t>
  </si>
  <si>
    <t>[Login] Data mismatch</t>
  </si>
  <si>
    <t>[Search] Wrong calculation</t>
  </si>
  <si>
    <t>[Export] Missing validation</t>
  </si>
  <si>
    <t>[Payment] Timeout</t>
  </si>
  <si>
    <t>[Reports] Crash on load</t>
  </si>
  <si>
    <t>[Notifications] Wrong calculation</t>
  </si>
  <si>
    <t>[Login] Memory leak</t>
  </si>
  <si>
    <t>[Admin Panel] Data mismatch</t>
  </si>
  <si>
    <t>[Search] 500 error</t>
  </si>
  <si>
    <t>[Notifications] Timeout</t>
  </si>
  <si>
    <t>[Login] NullPointerException</t>
  </si>
  <si>
    <t>[Payment] Missing validation</t>
  </si>
  <si>
    <t>[Export] Crash on load</t>
  </si>
  <si>
    <t>[Reports] Data mismatch</t>
  </si>
  <si>
    <t>[Search] Crash on load</t>
  </si>
  <si>
    <t>[Search] Missing validation</t>
  </si>
  <si>
    <t>[Search] Broken link</t>
  </si>
  <si>
    <t>[Dashboard] Wrong calculation</t>
  </si>
  <si>
    <t>[API Gateway] Broken link</t>
  </si>
  <si>
    <t>[Search] UI misalignment</t>
  </si>
  <si>
    <t>[Dashboard] 500 error</t>
  </si>
  <si>
    <t>[User Mgmt] Crash on load</t>
  </si>
  <si>
    <t>[Reports] Broken link</t>
  </si>
  <si>
    <t>[Export] Broken link</t>
  </si>
  <si>
    <t>[API Gateway] UI misalignment</t>
  </si>
  <si>
    <t>[Export] Wrong calculation</t>
  </si>
  <si>
    <t>[API Gateway] Data mismatch</t>
  </si>
  <si>
    <t>[User Mgmt] Missing validation</t>
  </si>
  <si>
    <t>[Reports] UI misalignment</t>
  </si>
  <si>
    <t>[Reports] NullPointerException</t>
  </si>
  <si>
    <t>[Dashboard] UI misalignment</t>
  </si>
  <si>
    <t>[Notifications] Memory leak</t>
  </si>
  <si>
    <t>[Payment] Wrong calculation</t>
  </si>
  <si>
    <t>[Notifications] NullPointerException</t>
  </si>
  <si>
    <t>[Dashboard] Crash on load</t>
  </si>
  <si>
    <t>[Admin Panel] UI misalignment</t>
  </si>
  <si>
    <t>[User Mgmt] Timeout</t>
  </si>
  <si>
    <t>[Reports] Memory leak</t>
  </si>
  <si>
    <t>[Admin Panel] Missing validation</t>
  </si>
  <si>
    <t>[API Gateway] NullPointerException</t>
  </si>
  <si>
    <t>[Admin Panel] NullPointerException</t>
  </si>
  <si>
    <t>[API Gateway] Crash on load</t>
  </si>
  <si>
    <t>[Search] Memory leak</t>
  </si>
  <si>
    <t>[Notifications] UI misalignment</t>
  </si>
  <si>
    <t>[Admin Panel] Broken link</t>
  </si>
  <si>
    <t>[API Gateway] Timeout</t>
  </si>
  <si>
    <t>[User Mgmt] NullPointerException</t>
  </si>
  <si>
    <t>[Login] 500 error</t>
  </si>
  <si>
    <t>[Admin Panel] 500 error</t>
  </si>
  <si>
    <t>[User Mgmt] Memory leak</t>
  </si>
  <si>
    <t>[Reports] Wrong calculation</t>
  </si>
  <si>
    <t>[Dashboard] NullPointerException</t>
  </si>
  <si>
    <t>[Payment] Memory leak</t>
  </si>
  <si>
    <t>[Search] Data mismatch</t>
  </si>
  <si>
    <t>[Login] Broken link</t>
  </si>
  <si>
    <t>[Login] UI misalignment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</si>
</sst>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0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color rgb="FFFFFFFF"/>
      <name val="Calibri"/>
    </font>
    <font>
      <b/>
      <sz val="9"/>
      <color rgb="FFFF8C00"/>
      <name val="Calibri"/>
    </font>
    <font>
      <b/>
      <sz val="9"/>
      <color rgb="FF8B949E"/>
      <name val="Calibri"/>
    </font>
    <font>
      <b/>
      <sz val="9"/>
      <color rgb="FFFF4444"/>
      <name val="Calibri"/>
    </font>
    <font>
      <b/>
      <sz val="9"/>
      <color rgb="FF58A6FF"/>
      <name val="Calibri"/>
    </font>
    <font>
      <b/>
      <sz val="9"/>
      <color rgb="FFFFD700"/>
      <name val="Calibri"/>
    </font>
    <font>
      <b/>
      <sz val="9"/>
      <color rgb="FF3FB950"/>
      <name val="Calibri"/>
    </font>
    <font>
      <b/>
      <sz val="9"/>
      <color rgb="FF2EA44F"/>
      <name val="Calibri"/>
    </font>
    <font>
      <b/>
      <sz val="9"/>
      <color rgb="FF00C851"/>
      <name val="Calibri"/>
    </font>
    <font>
      <b/>
      <sz val="9"/>
      <color rgb="FFD29922"/>
      <name val="Calibri"/>
    </font>
    <font>
      <b/>
      <sz val="11"/>
      <color rgb="FFFFFFFF"/>
      <name val="Calibri"/>
    </font>
    <font>
      <sz val="11"/>
      <color rgb="FFFFFFFF"/>
      <name val="Calibri"/>
    </font>
    <font>
      <i/>
      <sz val="9"/>
      <color rgb="FF8B949E"/>
      <name val="Calibri"/>
    </font>
    <font>
      <b/>
      <sz val="16"/>
      <color rgb="FFFFFFFF"/>
      <name val="Calibri"/>
    </font>
    <font>
      <sz val="10"/>
      <color rgb="FFFFFFFF"/>
      <name val="Calibri"/>
    </font>
    <font>
      <b/>
      <sz val="10"/>
      <color rgb="FF3FB950"/>
      <name val="Calibri"/>
    </font>
    <font>
      <b/>
      <sz val="10"/>
      <color rgb="FF39D353"/>
      <name val="Calibri"/>
    </font>
    <font>
      <b/>
      <sz val="10"/>
      <color rgb="FFF85149"/>
      <name val="Calibri"/>
    </font>
    <font>
      <b/>
      <sz val="10"/>
      <color rgb="FFD29922"/>
      <name val="Calibri"/>
    </font>
    <font>
      <b/>
      <sz val="15"/>
      <color rgb="FFFFFFFF"/>
      <name val="Calibri"/>
    </font>
    <font>
      <b/>
      <sz val="10"/>
      <color rgb="FFFF4444"/>
      <name val="Calibri"/>
    </font>
    <font>
      <b/>
      <sz val="24"/>
      <color rgb="FFFFFFFF"/>
      <name val="Calibri"/>
    </font>
    <font>
      <b/>
      <sz val="24"/>
      <color rgb="FFFFFFFF"/>
      <name val="Calibri"/>
      <family val="2"/>
      <scheme val="minor"/>
    </font>
    <font>
      <i/>
      <sz val="12"/>
      <color rgb="FF1F4E79"/>
      <name val="Calibri"/>
    </font>
    <font>
      <sz val="12"/>
      <color rgb="FF1F4E79"/>
      <name val="Calibri"/>
      <family val="2"/>
      <scheme val="minor"/>
    </font>
    <font>
      <sz val="20"/>
      <color rgb="FFFFFFFF"/>
      <name val="Calibri"/>
    </font>
    <font>
      <sz val="20"/>
      <color rgb="FFFFFFFF"/>
      <name val="Calibri"/>
      <family val="2"/>
      <scheme val="minor"/>
    </font>
    <font>
      <b/>
      <sz val="32"/>
      <color rgb="FFFFFFFF"/>
      <name val="Calibri"/>
    </font>
    <font>
      <b/>
      <sz val="3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BDD7EE"/>
      <name val="Calibri"/>
    </font>
    <font>
      <sz val="9"/>
      <color rgb="FFBDD7EE"/>
      <name val="Calibri"/>
      <family val="2"/>
      <scheme val="minor"/>
    </font>
    <font>
      <i/>
      <sz val="9"/>
      <color rgb="FFFCE4D6"/>
      <name val="Calibri"/>
    </font>
    <font>
      <sz val="9"/>
      <color rgb="FFFCE4D6"/>
      <name val="Calibri"/>
      <family val="2"/>
      <scheme val="minor"/>
    </font>
    <font>
      <i/>
      <sz val="9"/>
      <color rgb="FFC6E0B4"/>
      <name val="Calibri"/>
    </font>
    <font>
      <sz val="9"/>
      <color rgb="FFC6E0B4"/>
      <name val="Calibri"/>
      <family val="2"/>
      <scheme val="minor"/>
    </font>
    <font>
      <i/>
      <sz val="9"/>
      <color rgb="FFF8CBAD"/>
      <name val="Calibri"/>
    </font>
    <font>
      <sz val="9"/>
      <color rgb="FFF8CBAD"/>
      <name val="Calibri"/>
      <family val="2"/>
      <scheme val="minor"/>
    </font>
    <font>
      <i/>
      <sz val="9"/>
      <color rgb="FFE2C6FF"/>
      <name val="Calibri"/>
    </font>
    <font>
      <sz val="9"/>
      <color rgb="FFE2C6FF"/>
      <name val="Calibri"/>
      <family val="2"/>
      <scheme val="minor"/>
    </font>
    <font>
      <i/>
      <sz val="9"/>
      <color rgb="FFA9D6D6"/>
      <name val="Calibri"/>
    </font>
    <font>
      <sz val="9"/>
      <color rgb="FFA9D6D6"/>
      <name val="Calibri"/>
      <family val="2"/>
      <scheme val="minor"/>
    </font>
    <font>
      <b/>
      <sz val="13"/>
      <color rgb="FFFFFFFF"/>
      <name val="Calibri"/>
    </font>
    <font>
      <b/>
      <sz val="13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FFFFFF"/>
      <name val="Calibri"/>
      <family val="2"/>
    </font>
    <font>
      <sz val="10"/>
      <color rgb="FF2C3E5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rgb="FF2C3E50"/>
      <name val="Segoe UI"/>
      <family val="2"/>
    </font>
    <font>
      <b/>
      <sz val="10"/>
      <color rgb="FF2C3E50"/>
      <name val="Segoe UI"/>
      <family val="2"/>
    </font>
    <font>
      <b/>
      <sz val="11"/>
      <color rgb="FFFFFFFF"/>
      <name val="Calibri"/>
      <family val="2"/>
    </font>
    <font>
      <b/>
      <sz val="10"/>
      <color rgb="FF2C3E50"/>
      <name val="Calibri"/>
      <family val="2"/>
      <scheme val="minor"/>
    </font>
    <font>
      <b/>
      <sz val="10"/>
      <color rgb="FF1F4E79"/>
      <name val="Segoe UI"/>
      <family val="2"/>
    </font>
    <font>
      <b/>
      <sz val="10"/>
      <color rgb="FF1F4E79"/>
      <name val="Calibri"/>
      <family val="2"/>
      <scheme val="minor"/>
    </font>
    <font>
      <sz val="11"/>
      <color rgb="FF2C3E5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4A235A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61B22"/>
      </patternFill>
    </fill>
    <fill>
      <patternFill patternType="solid">
        <fgColor rgb="FF58A6FF"/>
      </patternFill>
    </fill>
    <fill>
      <patternFill patternType="solid">
        <fgColor rgb="FF1F6FEB"/>
      </patternFill>
    </fill>
    <fill>
      <patternFill patternType="solid">
        <fgColor rgb="FFBC8CFF"/>
      </patternFill>
    </fill>
    <fill>
      <patternFill patternType="solid">
        <fgColor rgb="FFD29922"/>
      </patternFill>
    </fill>
    <fill>
      <patternFill patternType="solid">
        <fgColor rgb="FF1F3A5F"/>
      </patternFill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D6F7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2E9B9B"/>
        <bgColor indexed="64"/>
      </patternFill>
    </fill>
    <fill>
      <patternFill patternType="solid">
        <fgColor rgb="FFE8D5F0"/>
        <bgColor indexed="64"/>
      </patternFill>
    </fill>
    <fill>
      <patternFill patternType="solid">
        <fgColor rgb="FFD5EDED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B8CCE4"/>
        <bgColor indexed="64"/>
      </patternFill>
    </fill>
  </fills>
  <borders count="51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/>
      <right/>
      <top style="thick">
        <color rgb="FF1F4E79"/>
      </top>
      <bottom/>
      <diagonal/>
    </border>
    <border>
      <left style="thick">
        <color rgb="FF1F4E79"/>
      </left>
      <right/>
      <top style="thick">
        <color rgb="FF1F4E79"/>
      </top>
      <bottom/>
      <diagonal/>
    </border>
    <border>
      <left style="thick">
        <color rgb="FF1F4E79"/>
      </left>
      <right/>
      <top/>
      <bottom/>
      <diagonal/>
    </border>
    <border>
      <left/>
      <right style="thick">
        <color rgb="FF1F4E79"/>
      </right>
      <top style="thick">
        <color rgb="FF1F4E79"/>
      </top>
      <bottom/>
      <diagonal/>
    </border>
    <border>
      <left/>
      <right style="thick">
        <color rgb="FF1F4E79"/>
      </right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ck">
        <color rgb="FFD9D9D9"/>
      </left>
      <right/>
      <top style="thin">
        <color rgb="FFD9D9D9"/>
      </top>
      <bottom/>
      <diagonal/>
    </border>
    <border>
      <left style="thick">
        <color rgb="FFD9D9D9"/>
      </left>
      <right/>
      <top/>
      <bottom/>
      <diagonal/>
    </border>
    <border>
      <left style="thick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ck">
        <color rgb="FFD9D9D9"/>
      </right>
      <top style="thin">
        <color rgb="FFD9D9D9"/>
      </top>
      <bottom/>
      <diagonal/>
    </border>
    <border>
      <left/>
      <right style="thick">
        <color rgb="FFD9D9D9"/>
      </right>
      <top/>
      <bottom/>
      <diagonal/>
    </border>
    <border>
      <left/>
      <right style="thick">
        <color rgb="FFD9D9D9"/>
      </right>
      <top/>
      <bottom style="thin">
        <color rgb="FFD9D9D9"/>
      </bottom>
      <diagonal/>
    </border>
    <border>
      <left/>
      <right/>
      <top style="medium">
        <color rgb="FF8B0000"/>
      </top>
      <bottom/>
      <diagonal/>
    </border>
    <border>
      <left style="medium">
        <color rgb="FF8B0000"/>
      </left>
      <right/>
      <top style="medium">
        <color rgb="FF8B0000"/>
      </top>
      <bottom/>
      <diagonal/>
    </border>
    <border>
      <left/>
      <right style="medium">
        <color rgb="FF8B0000"/>
      </right>
      <top style="medium">
        <color rgb="FF8B0000"/>
      </top>
      <bottom/>
      <diagonal/>
    </border>
    <border>
      <left/>
      <right style="medium">
        <color rgb="FF8B0000"/>
      </right>
      <top/>
      <bottom/>
      <diagonal/>
    </border>
    <border>
      <left style="medium">
        <color rgb="FF8B000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8B0000"/>
      </left>
      <right style="thin">
        <color rgb="FFE0E0E0"/>
      </right>
      <top style="thin">
        <color rgb="FFE0E0E0"/>
      </top>
      <bottom style="medium">
        <color rgb="FF8B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8B000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/>
      <top style="thin">
        <color rgb="FFE0E0E0"/>
      </top>
      <bottom style="medium">
        <color rgb="FF8B0000"/>
      </bottom>
      <diagonal/>
    </border>
    <border>
      <left style="thin">
        <color rgb="FFD9E1F2"/>
      </left>
      <right style="medium">
        <color rgb="FF8B0000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medium">
        <color rgb="FF8B0000"/>
      </bottom>
      <diagonal/>
    </border>
    <border>
      <left/>
      <right style="thin">
        <color rgb="FFE0E0E0"/>
      </right>
      <top style="thin">
        <color rgb="FFE0E0E0"/>
      </top>
      <bottom style="medium">
        <color rgb="FF8B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D0D0D0"/>
      </left>
      <right/>
      <top style="thin">
        <color rgb="FFE0E0E0"/>
      </top>
      <bottom style="medium">
        <color rgb="FF8B0000"/>
      </bottom>
      <diagonal/>
    </border>
    <border>
      <left/>
      <right style="thin">
        <color rgb="FFD0D0D0"/>
      </right>
      <top style="thin">
        <color rgb="FFE0E0E0"/>
      </top>
      <bottom style="medium">
        <color rgb="FF8B0000"/>
      </bottom>
      <diagonal/>
    </border>
    <border>
      <left style="thin">
        <color rgb="FFD0D0D0"/>
      </left>
      <right/>
      <top style="thin">
        <color rgb="FFE0E0E0"/>
      </top>
      <bottom/>
      <diagonal/>
    </border>
    <border>
      <left/>
      <right/>
      <top style="thin">
        <color rgb="FFE0E0E0"/>
      </top>
      <bottom/>
      <diagonal/>
    </border>
    <border>
      <left/>
      <right style="thin">
        <color rgb="FFD0D0D0"/>
      </right>
      <top style="thin">
        <color rgb="FFE0E0E0"/>
      </top>
      <bottom/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 style="medium">
        <color rgb="FF8B0000"/>
      </bottom>
      <diagonal/>
    </border>
    <border>
      <left style="thin">
        <color rgb="FFD9E1F2"/>
      </left>
      <right style="medium">
        <color rgb="FF8B0000"/>
      </right>
      <top style="thin">
        <color rgb="FFD9E1F2"/>
      </top>
      <bottom style="medium">
        <color rgb="FF8B0000"/>
      </bottom>
      <diagonal/>
    </border>
    <border>
      <left style="medium">
        <color rgb="FF8B0000"/>
      </left>
      <right style="thin">
        <color rgb="FFE0E0E0"/>
      </right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ck">
        <color rgb="FF1F4E79"/>
      </left>
      <right/>
      <top style="thin">
        <color rgb="FFD9D9D9"/>
      </top>
      <bottom style="medium">
        <color rgb="FF8B0000"/>
      </bottom>
      <diagonal/>
    </border>
    <border>
      <left/>
      <right/>
      <top style="thin">
        <color rgb="FFD9D9D9"/>
      </top>
      <bottom style="medium">
        <color rgb="FF8B0000"/>
      </bottom>
      <diagonal/>
    </border>
    <border>
      <left/>
      <right style="thick">
        <color rgb="FF1F4E79"/>
      </right>
      <top style="thin">
        <color rgb="FFD9D9D9"/>
      </top>
      <bottom style="medium">
        <color rgb="FF8B0000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0" fillId="2" borderId="0" xfId="0" applyFill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0" fillId="6" borderId="0" xfId="0" applyFill="1"/>
    <xf numFmtId="0" fontId="1" fillId="5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164" fontId="17" fillId="2" borderId="2" xfId="0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164" fontId="17" fillId="3" borderId="2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164" fontId="19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0" fillId="7" borderId="0" xfId="0" applyFill="1"/>
    <xf numFmtId="0" fontId="1" fillId="8" borderId="1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164" fontId="20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20" fillId="3" borderId="2" xfId="0" applyNumberFormat="1" applyFont="1" applyFill="1" applyBorder="1" applyAlignment="1">
      <alignment horizontal="center" vertical="center"/>
    </xf>
    <xf numFmtId="0" fontId="31" fillId="11" borderId="0" xfId="0" applyFont="1" applyFill="1" applyAlignment="1">
      <alignment horizontal="center"/>
    </xf>
    <xf numFmtId="0" fontId="31" fillId="12" borderId="0" xfId="0" applyFont="1" applyFill="1" applyAlignment="1">
      <alignment horizontal="center"/>
    </xf>
    <xf numFmtId="0" fontId="31" fillId="13" borderId="0" xfId="0" applyFont="1" applyFill="1" applyAlignment="1">
      <alignment horizontal="center"/>
    </xf>
    <xf numFmtId="0" fontId="31" fillId="14" borderId="0" xfId="0" applyFont="1" applyFill="1" applyAlignment="1">
      <alignment horizontal="center"/>
    </xf>
    <xf numFmtId="0" fontId="31" fillId="15" borderId="0" xfId="0" applyFont="1" applyFill="1" applyAlignment="1">
      <alignment horizontal="center"/>
    </xf>
    <xf numFmtId="0" fontId="31" fillId="16" borderId="0" xfId="0" applyFont="1" applyFill="1" applyAlignment="1">
      <alignment horizontal="center"/>
    </xf>
    <xf numFmtId="0" fontId="0" fillId="23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23" borderId="0" xfId="0" applyFill="1" applyAlignment="1">
      <alignment horizontal="left"/>
    </xf>
    <xf numFmtId="0" fontId="0" fillId="24" borderId="0" xfId="0" applyFill="1" applyAlignment="1">
      <alignment horizontal="left"/>
    </xf>
    <xf numFmtId="0" fontId="0" fillId="25" borderId="0" xfId="0" applyFill="1" applyAlignment="1">
      <alignment horizontal="left"/>
    </xf>
    <xf numFmtId="0" fontId="0" fillId="26" borderId="0" xfId="0" applyFill="1" applyAlignment="1">
      <alignment horizontal="left"/>
    </xf>
    <xf numFmtId="0" fontId="0" fillId="18" borderId="0" xfId="0" applyFill="1" applyAlignment="1">
      <alignment horizontal="left"/>
    </xf>
    <xf numFmtId="0" fontId="0" fillId="27" borderId="0" xfId="0" applyFill="1" applyAlignment="1">
      <alignment horizontal="left"/>
    </xf>
    <xf numFmtId="0" fontId="0" fillId="28" borderId="0" xfId="0" applyFill="1" applyAlignment="1">
      <alignment horizontal="left"/>
    </xf>
    <xf numFmtId="0" fontId="0" fillId="30" borderId="0" xfId="0" applyFill="1" applyAlignment="1">
      <alignment horizontal="left"/>
    </xf>
    <xf numFmtId="0" fontId="0" fillId="31" borderId="0" xfId="0" applyFill="1"/>
    <xf numFmtId="0" fontId="0" fillId="18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4" borderId="6" xfId="0" applyFill="1" applyBorder="1" applyProtection="1">
      <protection locked="0"/>
    </xf>
    <xf numFmtId="0" fontId="0" fillId="4" borderId="0" xfId="0" applyFill="1" applyProtection="1">
      <protection locked="0"/>
    </xf>
    <xf numFmtId="0" fontId="0" fillId="4" borderId="8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0" fillId="19" borderId="11" xfId="0" applyFill="1" applyBorder="1" applyProtection="1">
      <protection locked="0"/>
    </xf>
    <xf numFmtId="0" fontId="0" fillId="19" borderId="9" xfId="0" applyFill="1" applyBorder="1" applyProtection="1">
      <protection locked="0"/>
    </xf>
    <xf numFmtId="0" fontId="0" fillId="19" borderId="15" xfId="0" applyFill="1" applyBorder="1" applyProtection="1">
      <protection locked="0"/>
    </xf>
    <xf numFmtId="0" fontId="0" fillId="19" borderId="17" xfId="0" applyFill="1" applyBorder="1" applyProtection="1">
      <protection locked="0"/>
    </xf>
    <xf numFmtId="0" fontId="0" fillId="19" borderId="12" xfId="0" applyFill="1" applyBorder="1" applyProtection="1">
      <protection locked="0"/>
    </xf>
    <xf numFmtId="0" fontId="0" fillId="19" borderId="0" xfId="0" applyFill="1" applyProtection="1">
      <protection locked="0"/>
    </xf>
    <xf numFmtId="0" fontId="0" fillId="19" borderId="14" xfId="0" applyFill="1" applyBorder="1" applyProtection="1">
      <protection locked="0"/>
    </xf>
    <xf numFmtId="0" fontId="0" fillId="19" borderId="18" xfId="0" applyFill="1" applyBorder="1" applyProtection="1">
      <protection locked="0"/>
    </xf>
    <xf numFmtId="0" fontId="0" fillId="19" borderId="13" xfId="0" applyFill="1" applyBorder="1" applyProtection="1">
      <protection locked="0"/>
    </xf>
    <xf numFmtId="0" fontId="0" fillId="19" borderId="10" xfId="0" applyFill="1" applyBorder="1" applyProtection="1">
      <protection locked="0"/>
    </xf>
    <xf numFmtId="0" fontId="0" fillId="19" borderId="16" xfId="0" applyFill="1" applyBorder="1" applyProtection="1">
      <protection locked="0"/>
    </xf>
    <xf numFmtId="0" fontId="0" fillId="19" borderId="19" xfId="0" applyFill="1" applyBorder="1" applyProtection="1">
      <protection locked="0"/>
    </xf>
    <xf numFmtId="0" fontId="0" fillId="2" borderId="23" xfId="0" applyFill="1" applyBorder="1" applyProtection="1">
      <protection locked="0"/>
    </xf>
    <xf numFmtId="0" fontId="54" fillId="18" borderId="24" xfId="0" applyFont="1" applyFill="1" applyBorder="1" applyAlignment="1" applyProtection="1">
      <alignment horizontal="left" vertical="center"/>
      <protection locked="0"/>
    </xf>
    <xf numFmtId="0" fontId="50" fillId="18" borderId="25" xfId="0" applyFont="1" applyFill="1" applyBorder="1" applyAlignment="1" applyProtection="1">
      <alignment horizontal="left" vertical="center"/>
      <protection locked="0"/>
    </xf>
    <xf numFmtId="0" fontId="50" fillId="18" borderId="28" xfId="0" applyFont="1" applyFill="1" applyBorder="1" applyAlignment="1" applyProtection="1">
      <alignment horizontal="left" vertical="center"/>
      <protection locked="0"/>
    </xf>
    <xf numFmtId="0" fontId="54" fillId="22" borderId="24" xfId="0" applyFont="1" applyFill="1" applyBorder="1" applyAlignment="1" applyProtection="1">
      <alignment horizontal="left" vertical="center"/>
      <protection locked="0"/>
    </xf>
    <xf numFmtId="0" fontId="50" fillId="22" borderId="25" xfId="0" applyFont="1" applyFill="1" applyBorder="1" applyAlignment="1" applyProtection="1">
      <alignment horizontal="left" vertical="center"/>
      <protection locked="0"/>
    </xf>
    <xf numFmtId="0" fontId="50" fillId="22" borderId="28" xfId="0" applyFont="1" applyFill="1" applyBorder="1" applyAlignment="1" applyProtection="1">
      <alignment horizontal="left" vertical="center"/>
      <protection locked="0"/>
    </xf>
    <xf numFmtId="0" fontId="50" fillId="18" borderId="25" xfId="0" applyFont="1" applyFill="1" applyBorder="1" applyAlignment="1" applyProtection="1">
      <alignment vertical="center"/>
      <protection locked="0"/>
    </xf>
    <xf numFmtId="0" fontId="50" fillId="18" borderId="28" xfId="0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50" fillId="22" borderId="25" xfId="0" applyFont="1" applyFill="1" applyBorder="1" applyAlignment="1" applyProtection="1">
      <alignment vertical="center"/>
      <protection locked="0"/>
    </xf>
    <xf numFmtId="0" fontId="50" fillId="22" borderId="28" xfId="0" applyFont="1" applyFill="1" applyBorder="1" applyAlignment="1" applyProtection="1">
      <alignment vertical="center"/>
      <protection locked="0"/>
    </xf>
    <xf numFmtId="0" fontId="55" fillId="22" borderId="26" xfId="0" applyFont="1" applyFill="1" applyBorder="1" applyAlignment="1" applyProtection="1">
      <alignment horizontal="left" vertical="center"/>
      <protection locked="0"/>
    </xf>
    <xf numFmtId="0" fontId="48" fillId="22" borderId="27" xfId="0" applyFont="1" applyFill="1" applyBorder="1" applyAlignment="1" applyProtection="1">
      <alignment vertical="center"/>
      <protection locked="0"/>
    </xf>
    <xf numFmtId="0" fontId="48" fillId="22" borderId="30" xfId="0" applyFont="1" applyFill="1" applyBorder="1" applyAlignment="1" applyProtection="1">
      <alignment vertical="center"/>
      <protection locked="0"/>
    </xf>
    <xf numFmtId="0" fontId="50" fillId="18" borderId="33" xfId="0" applyFont="1" applyFill="1" applyBorder="1" applyAlignment="1" applyProtection="1">
      <alignment vertical="center"/>
      <protection locked="0"/>
    </xf>
    <xf numFmtId="0" fontId="50" fillId="22" borderId="33" xfId="0" applyFont="1" applyFill="1" applyBorder="1" applyAlignment="1" applyProtection="1">
      <alignment vertical="center"/>
      <protection locked="0"/>
    </xf>
    <xf numFmtId="0" fontId="48" fillId="22" borderId="35" xfId="0" applyFont="1" applyFill="1" applyBorder="1" applyAlignment="1" applyProtection="1">
      <alignment vertical="center"/>
      <protection locked="0"/>
    </xf>
    <xf numFmtId="0" fontId="50" fillId="18" borderId="33" xfId="0" applyFont="1" applyFill="1" applyBorder="1" applyAlignment="1" applyProtection="1">
      <alignment horizontal="left" vertical="center"/>
      <protection locked="0"/>
    </xf>
    <xf numFmtId="0" fontId="50" fillId="22" borderId="33" xfId="0" applyFont="1" applyFill="1" applyBorder="1" applyAlignment="1" applyProtection="1">
      <alignment horizontal="left" vertical="center"/>
      <protection locked="0"/>
    </xf>
    <xf numFmtId="0" fontId="50" fillId="18" borderId="32" xfId="0" applyFont="1" applyFill="1" applyBorder="1" applyAlignment="1" applyProtection="1">
      <alignment vertical="center"/>
      <protection locked="0"/>
    </xf>
    <xf numFmtId="0" fontId="50" fillId="22" borderId="32" xfId="0" applyFont="1" applyFill="1" applyBorder="1" applyAlignment="1" applyProtection="1">
      <alignment vertical="center"/>
      <protection locked="0"/>
    </xf>
    <xf numFmtId="0" fontId="48" fillId="22" borderId="34" xfId="0" applyFont="1" applyFill="1" applyBorder="1" applyAlignment="1" applyProtection="1">
      <alignment vertical="center"/>
      <protection locked="0"/>
    </xf>
    <xf numFmtId="0" fontId="0" fillId="32" borderId="0" xfId="0" applyFill="1"/>
    <xf numFmtId="0" fontId="49" fillId="9" borderId="0" xfId="0" applyFont="1" applyFill="1" applyAlignment="1">
      <alignment vertical="center"/>
    </xf>
    <xf numFmtId="0" fontId="31" fillId="15" borderId="0" xfId="0" applyFont="1" applyFill="1" applyAlignment="1">
      <alignment horizontal="center" vertical="center"/>
    </xf>
    <xf numFmtId="0" fontId="31" fillId="16" borderId="0" xfId="0" applyFont="1" applyFill="1" applyAlignment="1">
      <alignment horizontal="center" vertical="center"/>
    </xf>
    <xf numFmtId="0" fontId="57" fillId="18" borderId="0" xfId="0" applyFont="1" applyFill="1" applyAlignment="1">
      <alignment horizontal="left"/>
    </xf>
    <xf numFmtId="0" fontId="57" fillId="18" borderId="0" xfId="0" applyFont="1" applyFill="1" applyAlignment="1">
      <alignment horizontal="center"/>
    </xf>
    <xf numFmtId="0" fontId="31" fillId="33" borderId="0" xfId="0" applyFont="1" applyFill="1"/>
    <xf numFmtId="0" fontId="31" fillId="34" borderId="0" xfId="0" applyFont="1" applyFill="1"/>
    <xf numFmtId="0" fontId="31" fillId="0" borderId="0" xfId="0" applyFont="1" applyAlignment="1">
      <alignment horizontal="center"/>
    </xf>
    <xf numFmtId="0" fontId="56" fillId="37" borderId="0" xfId="0" applyFont="1" applyFill="1" applyAlignment="1">
      <alignment horizontal="left"/>
    </xf>
    <xf numFmtId="0" fontId="56" fillId="37" borderId="0" xfId="0" applyFont="1" applyFill="1" applyAlignment="1">
      <alignment horizontal="center"/>
    </xf>
    <xf numFmtId="0" fontId="56" fillId="18" borderId="0" xfId="0" applyFont="1" applyFill="1" applyAlignment="1">
      <alignment horizontal="left"/>
    </xf>
    <xf numFmtId="0" fontId="56" fillId="18" borderId="0" xfId="0" applyFont="1" applyFill="1" applyAlignment="1">
      <alignment horizontal="center"/>
    </xf>
    <xf numFmtId="0" fontId="59" fillId="38" borderId="0" xfId="0" applyFont="1" applyFill="1"/>
    <xf numFmtId="0" fontId="31" fillId="39" borderId="0" xfId="0" applyFont="1" applyFill="1" applyAlignment="1">
      <alignment horizontal="center"/>
    </xf>
    <xf numFmtId="49" fontId="0" fillId="29" borderId="0" xfId="0" applyNumberFormat="1" applyFill="1" applyAlignment="1">
      <alignment horizontal="left"/>
    </xf>
    <xf numFmtId="49" fontId="0" fillId="18" borderId="0" xfId="0" applyNumberFormat="1" applyFill="1" applyAlignment="1">
      <alignment horizontal="left"/>
    </xf>
    <xf numFmtId="0" fontId="53" fillId="35" borderId="0" xfId="0" applyFont="1" applyFill="1" applyAlignment="1">
      <alignment horizontal="center"/>
    </xf>
    <xf numFmtId="0" fontId="53" fillId="35" borderId="0" xfId="0" applyFont="1" applyFill="1" applyAlignment="1">
      <alignment horizontal="left"/>
    </xf>
    <xf numFmtId="0" fontId="56" fillId="35" borderId="0" xfId="0" applyFont="1" applyFill="1" applyAlignment="1">
      <alignment horizontal="left"/>
    </xf>
    <xf numFmtId="0" fontId="56" fillId="35" borderId="0" xfId="0" applyFont="1" applyFill="1" applyAlignment="1">
      <alignment horizontal="center"/>
    </xf>
    <xf numFmtId="0" fontId="56" fillId="36" borderId="0" xfId="0" applyFont="1" applyFill="1" applyAlignment="1">
      <alignment horizontal="left"/>
    </xf>
    <xf numFmtId="0" fontId="56" fillId="36" borderId="0" xfId="0" applyFont="1" applyFill="1" applyAlignment="1">
      <alignment horizontal="center"/>
    </xf>
    <xf numFmtId="0" fontId="53" fillId="36" borderId="0" xfId="0" applyFont="1" applyFill="1" applyAlignment="1">
      <alignment horizontal="center"/>
    </xf>
    <xf numFmtId="0" fontId="53" fillId="36" borderId="0" xfId="0" applyFont="1" applyFill="1" applyAlignment="1">
      <alignment horizontal="left"/>
    </xf>
    <xf numFmtId="0" fontId="27" fillId="13" borderId="0" xfId="0" applyFont="1" applyFill="1" applyAlignment="1" applyProtection="1">
      <alignment horizontal="center" vertical="center"/>
      <protection locked="0"/>
    </xf>
    <xf numFmtId="0" fontId="28" fillId="13" borderId="0" xfId="0" applyFont="1" applyFill="1" applyAlignment="1" applyProtection="1">
      <alignment horizontal="center"/>
      <protection locked="0"/>
    </xf>
    <xf numFmtId="0" fontId="27" fillId="16" borderId="0" xfId="0" applyFont="1" applyFill="1" applyAlignment="1" applyProtection="1">
      <alignment horizontal="center" vertical="center"/>
      <protection locked="0"/>
    </xf>
    <xf numFmtId="0" fontId="28" fillId="16" borderId="0" xfId="0" applyFont="1" applyFill="1" applyAlignment="1" applyProtection="1">
      <alignment horizontal="center"/>
      <protection locked="0"/>
    </xf>
    <xf numFmtId="0" fontId="28" fillId="16" borderId="8" xfId="0" applyFont="1" applyFill="1" applyBorder="1" applyAlignment="1" applyProtection="1">
      <alignment horizontal="center"/>
      <protection locked="0"/>
    </xf>
    <xf numFmtId="0" fontId="46" fillId="20" borderId="20" xfId="0" applyFont="1" applyFill="1" applyBorder="1" applyAlignment="1" applyProtection="1">
      <alignment horizontal="center" vertical="center"/>
      <protection locked="0"/>
    </xf>
    <xf numFmtId="0" fontId="46" fillId="20" borderId="22" xfId="0" applyFont="1" applyFill="1" applyBorder="1" applyAlignment="1" applyProtection="1">
      <alignment horizontal="center" vertical="center"/>
      <protection locked="0"/>
    </xf>
    <xf numFmtId="0" fontId="44" fillId="17" borderId="0" xfId="0" applyFont="1" applyFill="1" applyAlignment="1" applyProtection="1">
      <alignment horizontal="center" vertical="center"/>
      <protection locked="0"/>
    </xf>
    <xf numFmtId="0" fontId="45" fillId="17" borderId="0" xfId="0" applyFont="1" applyFill="1" applyAlignment="1" applyProtection="1">
      <alignment horizontal="center" vertical="center"/>
      <protection locked="0"/>
    </xf>
    <xf numFmtId="0" fontId="45" fillId="17" borderId="8" xfId="0" applyFont="1" applyFill="1" applyBorder="1" applyAlignment="1" applyProtection="1">
      <alignment horizontal="center" vertical="center"/>
      <protection locked="0"/>
    </xf>
    <xf numFmtId="0" fontId="32" fillId="11" borderId="6" xfId="0" applyFont="1" applyFill="1" applyBorder="1" applyAlignment="1" applyProtection="1">
      <alignment horizontal="center" vertical="center"/>
      <protection locked="0"/>
    </xf>
    <xf numFmtId="0" fontId="33" fillId="11" borderId="0" xfId="0" applyFont="1" applyFill="1" applyAlignment="1" applyProtection="1">
      <alignment horizontal="center"/>
      <protection locked="0"/>
    </xf>
    <xf numFmtId="0" fontId="38" fillId="14" borderId="0" xfId="0" applyFont="1" applyFill="1" applyAlignment="1" applyProtection="1">
      <alignment horizontal="center" vertical="center"/>
      <protection locked="0"/>
    </xf>
    <xf numFmtId="0" fontId="39" fillId="14" borderId="0" xfId="0" applyFont="1" applyFill="1" applyAlignment="1" applyProtection="1">
      <alignment horizontal="center"/>
      <protection locked="0"/>
    </xf>
    <xf numFmtId="0" fontId="34" fillId="12" borderId="0" xfId="0" applyFont="1" applyFill="1" applyAlignment="1" applyProtection="1">
      <alignment horizontal="center" vertical="center"/>
      <protection locked="0"/>
    </xf>
    <xf numFmtId="0" fontId="35" fillId="12" borderId="0" xfId="0" applyFont="1" applyFill="1" applyAlignment="1" applyProtection="1">
      <alignment horizontal="center"/>
      <protection locked="0"/>
    </xf>
    <xf numFmtId="0" fontId="42" fillId="16" borderId="0" xfId="0" applyFont="1" applyFill="1" applyAlignment="1" applyProtection="1">
      <alignment horizontal="center" vertical="center"/>
      <protection locked="0"/>
    </xf>
    <xf numFmtId="0" fontId="43" fillId="16" borderId="0" xfId="0" applyFont="1" applyFill="1" applyAlignment="1" applyProtection="1">
      <alignment horizontal="center"/>
      <protection locked="0"/>
    </xf>
    <xf numFmtId="0" fontId="43" fillId="16" borderId="8" xfId="0" applyFont="1" applyFill="1" applyBorder="1" applyAlignment="1" applyProtection="1">
      <alignment horizontal="center"/>
      <protection locked="0"/>
    </xf>
    <xf numFmtId="0" fontId="52" fillId="12" borderId="0" xfId="0" applyFont="1" applyFill="1" applyAlignment="1" applyProtection="1">
      <alignment horizontal="center" vertical="center" wrapText="1"/>
      <protection locked="0"/>
    </xf>
    <xf numFmtId="0" fontId="31" fillId="12" borderId="0" xfId="0" applyFont="1" applyFill="1" applyAlignment="1" applyProtection="1">
      <alignment horizontal="center" wrapText="1"/>
      <protection locked="0"/>
    </xf>
    <xf numFmtId="0" fontId="52" fillId="14" borderId="0" xfId="0" applyFont="1" applyFill="1" applyAlignment="1" applyProtection="1">
      <alignment horizontal="center" vertical="center" wrapText="1"/>
      <protection locked="0"/>
    </xf>
    <xf numFmtId="0" fontId="31" fillId="14" borderId="0" xfId="0" applyFont="1" applyFill="1" applyAlignment="1" applyProtection="1">
      <alignment horizontal="center"/>
      <protection locked="0"/>
    </xf>
    <xf numFmtId="0" fontId="23" fillId="9" borderId="5" xfId="0" applyFont="1" applyFill="1" applyBorder="1" applyAlignment="1" applyProtection="1">
      <alignment horizontal="center" vertical="center"/>
      <protection locked="0"/>
    </xf>
    <xf numFmtId="0" fontId="24" fillId="9" borderId="4" xfId="0" applyFont="1" applyFill="1" applyBorder="1" applyAlignment="1" applyProtection="1">
      <alignment horizontal="center" vertical="center"/>
      <protection locked="0"/>
    </xf>
    <xf numFmtId="0" fontId="24" fillId="9" borderId="7" xfId="0" applyFont="1" applyFill="1" applyBorder="1" applyAlignment="1" applyProtection="1">
      <alignment horizontal="center" vertical="center"/>
      <protection locked="0"/>
    </xf>
    <xf numFmtId="0" fontId="27" fillId="11" borderId="6" xfId="0" applyFont="1" applyFill="1" applyBorder="1" applyAlignment="1" applyProtection="1">
      <alignment horizontal="center" vertical="center"/>
      <protection locked="0"/>
    </xf>
    <xf numFmtId="0" fontId="28" fillId="11" borderId="0" xfId="0" applyFont="1" applyFill="1" applyAlignment="1" applyProtection="1">
      <alignment horizontal="center"/>
      <protection locked="0"/>
    </xf>
    <xf numFmtId="0" fontId="27" fillId="14" borderId="0" xfId="0" applyFont="1" applyFill="1" applyAlignment="1" applyProtection="1">
      <alignment horizontal="center" vertical="center"/>
      <protection locked="0"/>
    </xf>
    <xf numFmtId="0" fontId="28" fillId="14" borderId="0" xfId="0" applyFont="1" applyFill="1" applyAlignment="1" applyProtection="1">
      <alignment horizontal="center"/>
      <protection locked="0"/>
    </xf>
    <xf numFmtId="0" fontId="27" fillId="12" borderId="0" xfId="0" applyFont="1" applyFill="1" applyAlignment="1" applyProtection="1">
      <alignment horizontal="center" vertical="center"/>
      <protection locked="0"/>
    </xf>
    <xf numFmtId="0" fontId="28" fillId="12" borderId="0" xfId="0" applyFont="1" applyFill="1" applyAlignment="1" applyProtection="1">
      <alignment horizontal="center"/>
      <protection locked="0"/>
    </xf>
    <xf numFmtId="0" fontId="27" fillId="15" borderId="0" xfId="0" applyFont="1" applyFill="1" applyAlignment="1" applyProtection="1">
      <alignment horizontal="center" vertical="center"/>
      <protection locked="0"/>
    </xf>
    <xf numFmtId="0" fontId="28" fillId="15" borderId="0" xfId="0" applyFont="1" applyFill="1" applyAlignment="1" applyProtection="1">
      <alignment horizontal="center"/>
      <protection locked="0"/>
    </xf>
    <xf numFmtId="0" fontId="25" fillId="10" borderId="6" xfId="0" applyFont="1" applyFill="1" applyBorder="1" applyAlignment="1" applyProtection="1">
      <alignment horizontal="center" vertical="center"/>
      <protection locked="0"/>
    </xf>
    <xf numFmtId="0" fontId="26" fillId="10" borderId="0" xfId="0" applyFont="1" applyFill="1" applyAlignment="1" applyProtection="1">
      <alignment horizontal="center" vertical="center"/>
      <protection locked="0"/>
    </xf>
    <xf numFmtId="0" fontId="26" fillId="10" borderId="8" xfId="0" applyFont="1" applyFill="1" applyBorder="1" applyAlignment="1" applyProtection="1">
      <alignment horizontal="center" vertical="center"/>
      <protection locked="0"/>
    </xf>
    <xf numFmtId="0" fontId="12" fillId="11" borderId="6" xfId="0" applyFont="1" applyFill="1" applyBorder="1" applyAlignment="1" applyProtection="1">
      <alignment horizontal="center" vertical="center"/>
      <protection locked="0"/>
    </xf>
    <xf numFmtId="0" fontId="31" fillId="11" borderId="0" xfId="0" applyFont="1" applyFill="1" applyAlignment="1" applyProtection="1">
      <alignment horizontal="center"/>
      <protection locked="0"/>
    </xf>
    <xf numFmtId="0" fontId="12" fillId="16" borderId="0" xfId="0" applyFont="1" applyFill="1" applyAlignment="1" applyProtection="1">
      <alignment horizontal="center" vertical="center"/>
      <protection locked="0"/>
    </xf>
    <xf numFmtId="0" fontId="31" fillId="16" borderId="0" xfId="0" applyFont="1" applyFill="1" applyAlignment="1" applyProtection="1">
      <alignment horizontal="center"/>
      <protection locked="0"/>
    </xf>
    <xf numFmtId="0" fontId="31" fillId="16" borderId="8" xfId="0" applyFont="1" applyFill="1" applyBorder="1" applyAlignment="1" applyProtection="1">
      <alignment horizontal="center"/>
      <protection locked="0"/>
    </xf>
    <xf numFmtId="0" fontId="44" fillId="17" borderId="6" xfId="0" applyFont="1" applyFill="1" applyBorder="1" applyAlignment="1" applyProtection="1">
      <alignment horizontal="center" vertical="center"/>
      <protection locked="0"/>
    </xf>
    <xf numFmtId="0" fontId="36" fillId="13" borderId="0" xfId="0" applyFont="1" applyFill="1" applyAlignment="1" applyProtection="1">
      <alignment horizontal="center" vertical="center"/>
      <protection locked="0"/>
    </xf>
    <xf numFmtId="0" fontId="37" fillId="13" borderId="0" xfId="0" applyFont="1" applyFill="1" applyAlignment="1" applyProtection="1">
      <alignment horizontal="center"/>
      <protection locked="0"/>
    </xf>
    <xf numFmtId="0" fontId="40" fillId="15" borderId="0" xfId="0" applyFont="1" applyFill="1" applyAlignment="1" applyProtection="1">
      <alignment horizontal="center" vertical="center"/>
      <protection locked="0"/>
    </xf>
    <xf numFmtId="0" fontId="41" fillId="15" borderId="0" xfId="0" applyFont="1" applyFill="1" applyAlignment="1" applyProtection="1">
      <alignment horizontal="center"/>
      <protection locked="0"/>
    </xf>
    <xf numFmtId="0" fontId="12" fillId="13" borderId="0" xfId="0" applyFont="1" applyFill="1" applyAlignment="1" applyProtection="1">
      <alignment horizontal="center" vertical="center"/>
      <protection locked="0"/>
    </xf>
    <xf numFmtId="0" fontId="31" fillId="13" borderId="0" xfId="0" applyFont="1" applyFill="1" applyAlignment="1" applyProtection="1">
      <alignment horizontal="center"/>
      <protection locked="0"/>
    </xf>
    <xf numFmtId="0" fontId="12" fillId="15" borderId="0" xfId="0" applyFont="1" applyFill="1" applyAlignment="1" applyProtection="1">
      <alignment horizontal="center" vertical="center"/>
      <protection locked="0"/>
    </xf>
    <xf numFmtId="0" fontId="31" fillId="15" borderId="0" xfId="0" applyFont="1" applyFill="1" applyAlignment="1" applyProtection="1">
      <alignment horizontal="center"/>
      <protection locked="0"/>
    </xf>
    <xf numFmtId="0" fontId="15" fillId="2" borderId="0" xfId="0" applyFont="1" applyFill="1" applyAlignment="1">
      <alignment horizontal="center" vertical="center"/>
    </xf>
    <xf numFmtId="0" fontId="0" fillId="0" borderId="0" xfId="0"/>
    <xf numFmtId="0" fontId="14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1" fillId="17" borderId="48" xfId="0" applyFont="1" applyFill="1" applyBorder="1" applyAlignment="1" applyProtection="1">
      <alignment horizontal="left" vertical="center"/>
      <protection locked="0"/>
    </xf>
    <xf numFmtId="0" fontId="0" fillId="0" borderId="49" xfId="0" applyBorder="1" applyProtection="1">
      <protection locked="0"/>
    </xf>
    <xf numFmtId="0" fontId="31" fillId="17" borderId="49" xfId="0" applyFont="1" applyFill="1" applyBorder="1" applyAlignment="1" applyProtection="1">
      <alignment horizontal="left" vertical="center"/>
      <protection locked="0"/>
    </xf>
    <xf numFmtId="0" fontId="0" fillId="0" borderId="50" xfId="0" applyBorder="1" applyProtection="1">
      <protection locked="0"/>
    </xf>
    <xf numFmtId="0" fontId="31" fillId="17" borderId="0" xfId="0" applyFont="1" applyFill="1" applyAlignment="1" applyProtection="1">
      <alignment horizontal="left" vertical="center"/>
      <protection locked="0"/>
    </xf>
    <xf numFmtId="0" fontId="47" fillId="20" borderId="21" xfId="0" applyFont="1" applyFill="1" applyBorder="1" applyAlignment="1" applyProtection="1">
      <alignment horizontal="center" vertical="center"/>
      <protection locked="0"/>
    </xf>
    <xf numFmtId="0" fontId="52" fillId="21" borderId="45" xfId="0" applyFont="1" applyFill="1" applyBorder="1" applyAlignment="1" applyProtection="1">
      <alignment horizontal="center" vertical="center"/>
      <protection locked="0"/>
    </xf>
    <xf numFmtId="0" fontId="31" fillId="21" borderId="46" xfId="0" applyFont="1" applyFill="1" applyBorder="1" applyAlignment="1" applyProtection="1">
      <alignment horizontal="center" vertical="center"/>
      <protection locked="0"/>
    </xf>
    <xf numFmtId="0" fontId="52" fillId="21" borderId="47" xfId="0" applyFont="1" applyFill="1" applyBorder="1" applyAlignment="1" applyProtection="1">
      <alignment horizontal="center" vertical="center"/>
      <protection locked="0"/>
    </xf>
    <xf numFmtId="0" fontId="31" fillId="21" borderId="47" xfId="0" applyFont="1" applyFill="1" applyBorder="1" applyAlignment="1" applyProtection="1">
      <alignment horizontal="center" vertical="center"/>
      <protection locked="0"/>
    </xf>
    <xf numFmtId="0" fontId="31" fillId="21" borderId="47" xfId="0" applyFont="1" applyFill="1" applyBorder="1" applyAlignment="1" applyProtection="1">
      <alignment horizontal="center" vertical="center"/>
      <protection locked="0"/>
    </xf>
    <xf numFmtId="0" fontId="52" fillId="21" borderId="29" xfId="0" applyFont="1" applyFill="1" applyBorder="1" applyAlignment="1" applyProtection="1">
      <alignment horizontal="center" vertical="center"/>
      <protection locked="0"/>
    </xf>
    <xf numFmtId="0" fontId="31" fillId="21" borderId="23" xfId="0" applyFont="1" applyFill="1" applyBorder="1" applyAlignment="1" applyProtection="1">
      <alignment horizontal="center" vertical="center"/>
      <protection locked="0"/>
    </xf>
    <xf numFmtId="0" fontId="50" fillId="18" borderId="25" xfId="0" applyFont="1" applyFill="1" applyBorder="1" applyAlignment="1" applyProtection="1">
      <alignment horizontal="left" vertical="center"/>
      <protection locked="0"/>
    </xf>
    <xf numFmtId="0" fontId="51" fillId="18" borderId="25" xfId="0" applyFont="1" applyFill="1" applyBorder="1" applyAlignment="1" applyProtection="1">
      <alignment horizontal="center" vertical="center"/>
      <protection locked="0"/>
    </xf>
    <xf numFmtId="0" fontId="50" fillId="18" borderId="25" xfId="0" applyFont="1" applyFill="1" applyBorder="1" applyAlignment="1" applyProtection="1">
      <alignment horizontal="center" vertical="center"/>
      <protection locked="0"/>
    </xf>
    <xf numFmtId="0" fontId="50" fillId="0" borderId="42" xfId="0" applyFont="1" applyBorder="1" applyAlignment="1" applyProtection="1">
      <alignment horizontal="center" vertical="center"/>
      <protection locked="0"/>
    </xf>
    <xf numFmtId="0" fontId="50" fillId="0" borderId="31" xfId="0" applyFont="1" applyBorder="1" applyAlignment="1" applyProtection="1">
      <alignment horizontal="center" vertical="center"/>
      <protection locked="0"/>
    </xf>
    <xf numFmtId="0" fontId="50" fillId="22" borderId="25" xfId="0" applyFont="1" applyFill="1" applyBorder="1" applyAlignment="1" applyProtection="1">
      <alignment horizontal="left" vertical="center"/>
      <protection locked="0"/>
    </xf>
    <xf numFmtId="0" fontId="51" fillId="22" borderId="25" xfId="0" applyFont="1" applyFill="1" applyBorder="1" applyAlignment="1" applyProtection="1">
      <alignment horizontal="center" vertical="center"/>
      <protection locked="0"/>
    </xf>
    <xf numFmtId="0" fontId="50" fillId="22" borderId="25" xfId="0" applyFont="1" applyFill="1" applyBorder="1" applyAlignment="1" applyProtection="1">
      <alignment horizontal="center" vertical="center"/>
      <protection locked="0"/>
    </xf>
    <xf numFmtId="0" fontId="50" fillId="22" borderId="36" xfId="0" applyFont="1" applyFill="1" applyBorder="1" applyAlignment="1" applyProtection="1">
      <alignment horizontal="left" vertical="center"/>
      <protection locked="0"/>
    </xf>
    <xf numFmtId="0" fontId="50" fillId="18" borderId="39" xfId="0" applyFont="1" applyFill="1" applyBorder="1" applyAlignment="1" applyProtection="1">
      <alignment horizontal="left" vertical="center"/>
      <protection locked="0"/>
    </xf>
    <xf numFmtId="0" fontId="50" fillId="18" borderId="40" xfId="0" applyFont="1" applyFill="1" applyBorder="1" applyAlignment="1" applyProtection="1">
      <alignment horizontal="left" vertical="center"/>
      <protection locked="0"/>
    </xf>
    <xf numFmtId="0" fontId="50" fillId="18" borderId="41" xfId="0" applyFont="1" applyFill="1" applyBorder="1" applyAlignment="1" applyProtection="1">
      <alignment horizontal="left" vertical="center"/>
      <protection locked="0"/>
    </xf>
    <xf numFmtId="1" fontId="50" fillId="0" borderId="42" xfId="0" applyNumberFormat="1" applyFont="1" applyBorder="1" applyAlignment="1" applyProtection="1">
      <alignment horizontal="center" vertical="center"/>
      <protection locked="0"/>
    </xf>
    <xf numFmtId="1" fontId="50" fillId="0" borderId="31" xfId="0" applyNumberFormat="1" applyFont="1" applyBorder="1" applyAlignment="1" applyProtection="1">
      <alignment horizontal="center" vertical="center"/>
      <protection locked="0"/>
    </xf>
    <xf numFmtId="0" fontId="50" fillId="22" borderId="39" xfId="0" applyFont="1" applyFill="1" applyBorder="1" applyAlignment="1" applyProtection="1">
      <alignment horizontal="left" vertical="center"/>
      <protection locked="0"/>
    </xf>
    <xf numFmtId="0" fontId="50" fillId="22" borderId="40" xfId="0" applyFont="1" applyFill="1" applyBorder="1" applyAlignment="1" applyProtection="1">
      <alignment horizontal="left" vertical="center"/>
      <protection locked="0"/>
    </xf>
    <xf numFmtId="0" fontId="50" fillId="22" borderId="41" xfId="0" applyFont="1" applyFill="1" applyBorder="1" applyAlignment="1" applyProtection="1">
      <alignment horizontal="left" vertical="center"/>
      <protection locked="0"/>
    </xf>
    <xf numFmtId="0" fontId="48" fillId="22" borderId="37" xfId="0" applyFont="1" applyFill="1" applyBorder="1" applyAlignment="1" applyProtection="1">
      <alignment horizontal="left" vertical="center"/>
      <protection locked="0"/>
    </xf>
    <xf numFmtId="0" fontId="48" fillId="22" borderId="34" xfId="0" applyFont="1" applyFill="1" applyBorder="1" applyAlignment="1" applyProtection="1">
      <alignment horizontal="left" vertical="center"/>
      <protection locked="0"/>
    </xf>
    <xf numFmtId="0" fontId="48" fillId="22" borderId="38" xfId="0" applyFont="1" applyFill="1" applyBorder="1" applyAlignment="1" applyProtection="1">
      <alignment horizontal="left" vertical="center"/>
      <protection locked="0"/>
    </xf>
    <xf numFmtId="0" fontId="53" fillId="22" borderId="27" xfId="0" applyFont="1" applyFill="1" applyBorder="1" applyAlignment="1" applyProtection="1">
      <alignment horizontal="center" vertical="center"/>
      <protection locked="0"/>
    </xf>
    <xf numFmtId="0" fontId="48" fillId="22" borderId="27" xfId="0" applyFont="1" applyFill="1" applyBorder="1" applyAlignment="1" applyProtection="1">
      <alignment horizontal="center" vertical="center"/>
      <protection locked="0"/>
    </xf>
    <xf numFmtId="0" fontId="48" fillId="22" borderId="27" xfId="0" applyFont="1" applyFill="1" applyBorder="1" applyAlignment="1" applyProtection="1">
      <alignment horizontal="left" vertical="center"/>
      <protection locked="0"/>
    </xf>
    <xf numFmtId="1" fontId="50" fillId="0" borderId="43" xfId="0" applyNumberFormat="1" applyFont="1" applyBorder="1" applyAlignment="1" applyProtection="1">
      <alignment horizontal="center" vertical="center"/>
      <protection locked="0"/>
    </xf>
    <xf numFmtId="1" fontId="50" fillId="0" borderId="44" xfId="0" applyNumberFormat="1" applyFont="1" applyBorder="1" applyAlignment="1" applyProtection="1">
      <alignment horizontal="center" vertical="center"/>
      <protection locked="0"/>
    </xf>
    <xf numFmtId="0" fontId="29" fillId="11" borderId="6" xfId="0" applyFont="1" applyFill="1" applyBorder="1" applyAlignment="1" applyProtection="1">
      <alignment horizontal="center" vertical="center"/>
    </xf>
    <xf numFmtId="0" fontId="30" fillId="11" borderId="0" xfId="0" applyFont="1" applyFill="1" applyAlignment="1" applyProtection="1">
      <alignment horizontal="center"/>
    </xf>
    <xf numFmtId="0" fontId="29" fillId="12" borderId="0" xfId="0" applyFont="1" applyFill="1" applyAlignment="1" applyProtection="1">
      <alignment horizontal="center" vertical="center"/>
    </xf>
    <xf numFmtId="0" fontId="30" fillId="12" borderId="0" xfId="0" applyFont="1" applyFill="1" applyAlignment="1" applyProtection="1">
      <alignment horizontal="center"/>
    </xf>
    <xf numFmtId="0" fontId="29" fillId="13" borderId="0" xfId="0" applyFont="1" applyFill="1" applyAlignment="1" applyProtection="1">
      <alignment horizontal="center" vertical="center"/>
    </xf>
    <xf numFmtId="0" fontId="30" fillId="13" borderId="0" xfId="0" applyFont="1" applyFill="1" applyAlignment="1" applyProtection="1">
      <alignment horizontal="center"/>
    </xf>
    <xf numFmtId="0" fontId="29" fillId="14" borderId="0" xfId="0" applyFont="1" applyFill="1" applyAlignment="1" applyProtection="1">
      <alignment horizontal="center" vertical="center"/>
    </xf>
    <xf numFmtId="0" fontId="30" fillId="14" borderId="0" xfId="0" applyFont="1" applyFill="1" applyAlignment="1" applyProtection="1">
      <alignment horizontal="center"/>
    </xf>
    <xf numFmtId="0" fontId="29" fillId="15" borderId="0" xfId="0" applyFont="1" applyFill="1" applyAlignment="1" applyProtection="1">
      <alignment horizontal="center" vertical="center"/>
    </xf>
    <xf numFmtId="0" fontId="30" fillId="15" borderId="0" xfId="0" applyFont="1" applyFill="1" applyAlignment="1" applyProtection="1">
      <alignment horizontal="center"/>
    </xf>
    <xf numFmtId="0" fontId="29" fillId="16" borderId="0" xfId="0" applyFont="1" applyFill="1" applyAlignment="1" applyProtection="1">
      <alignment horizontal="center" vertical="center"/>
    </xf>
    <xf numFmtId="0" fontId="30" fillId="16" borderId="0" xfId="0" applyFont="1" applyFill="1" applyAlignment="1" applyProtection="1">
      <alignment horizontal="center"/>
    </xf>
    <xf numFmtId="0" fontId="30" fillId="16" borderId="8" xfId="0" applyFont="1" applyFill="1" applyBorder="1" applyAlignment="1" applyProtection="1">
      <alignment horizontal="center"/>
    </xf>
  </cellXfs>
  <cellStyles count="1">
    <cellStyle name="Normal" xfId="0" builtinId="0"/>
  </cellStyles>
  <dxfs count="23">
    <dxf>
      <font>
        <b/>
        <i val="0"/>
        <color rgb="FFC00050"/>
      </font>
    </dxf>
    <dxf>
      <font>
        <b val="0"/>
        <i val="0"/>
        <color rgb="FF595959"/>
      </font>
    </dxf>
    <dxf>
      <font>
        <b val="0"/>
        <i val="0"/>
        <color rgb="FF7030A0"/>
      </font>
    </dxf>
    <dxf>
      <font>
        <b val="0"/>
        <i val="0"/>
        <color rgb="FF1D6F72"/>
      </font>
    </dxf>
    <dxf>
      <font>
        <b val="0"/>
        <i val="0"/>
        <color rgb="FF2E75B6"/>
      </font>
    </dxf>
    <dxf>
      <font>
        <b/>
        <i val="0"/>
        <color rgb="FFC00000"/>
      </font>
    </dxf>
    <dxf>
      <font>
        <b val="0"/>
        <i val="0"/>
        <color rgb="FF538135"/>
      </font>
    </dxf>
    <dxf>
      <font>
        <b val="0"/>
        <i val="0"/>
        <color rgb="FF806000"/>
      </font>
    </dxf>
    <dxf>
      <font>
        <b/>
        <i val="0"/>
        <color rgb="FFC65911"/>
      </font>
    </dxf>
    <dxf>
      <font>
        <b/>
        <i val="0"/>
        <color rgb="FFC00000"/>
      </font>
    </dxf>
    <dxf>
      <font>
        <color rgb="FF375623"/>
      </font>
      <fill>
        <patternFill patternType="solid">
          <fgColor indexed="64"/>
          <bgColor rgb="FFE2F0D9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DE9E7"/>
        </patternFill>
      </fill>
    </dxf>
    <dxf>
      <font>
        <b/>
        <i val="0"/>
        <color rgb="FF37474F"/>
      </font>
      <fill>
        <patternFill patternType="solid">
          <fgColor indexed="64"/>
          <bgColor rgb="FFCFD8DC"/>
        </patternFill>
      </fill>
    </dxf>
    <dxf>
      <font>
        <b/>
        <i val="0"/>
        <color rgb="FF4A148C"/>
      </font>
      <fill>
        <patternFill patternType="solid">
          <fgColor indexed="64"/>
          <bgColor rgb="FFE1BEE7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880E4F"/>
      </font>
      <fill>
        <patternFill patternType="solid">
          <fgColor indexed="64"/>
          <bgColor rgb="FFF8BBD9"/>
        </patternFill>
      </fill>
    </dxf>
    <dxf>
      <font>
        <b/>
        <i val="0"/>
        <color rgb="FF0D47A1"/>
      </font>
      <fill>
        <patternFill patternType="solid">
          <fgColor indexed="64"/>
          <bgColor rgb="FFBBDEFB"/>
        </patternFill>
      </fill>
    </dxf>
    <dxf>
      <font>
        <b/>
        <i val="0"/>
        <color rgb="FF827717"/>
      </font>
      <fill>
        <patternFill patternType="solid">
          <fgColor indexed="64"/>
          <bgColor rgb="FFFFF59D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F57F17"/>
      </font>
      <fill>
        <patternFill patternType="solid">
          <fgColor indexed="64"/>
          <bgColor rgb="FFFFF9C4"/>
        </patternFill>
      </fill>
    </dxf>
    <dxf>
      <font>
        <b/>
        <i val="0"/>
        <color rgb="FFE65100"/>
      </font>
      <fill>
        <patternFill patternType="solid">
          <fgColor indexed="64"/>
          <bgColor rgb="FFFFE0B2"/>
        </patternFill>
      </fill>
    </dxf>
    <dxf>
      <font>
        <b/>
        <i val="0"/>
        <color rgb="FFB71C1C"/>
      </font>
      <fill>
        <patternFill patternType="solid">
          <fgColor indexed="64"/>
          <bgColor rgb="FFFFCD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autoTitleDeleted val="1"/>
    <c:plotArea>
      <c:layout/>
      <c:pieChart>
        <c:varyColors val="1"/>
        <c:ser>
          <c:idx val="0"/>
          <c:order val="0"/>
          <c:tx>
            <c:strRef>
              <c:f>'Chart Data'!$B$1</c:f>
              <c:strCache>
                <c:ptCount val="1"/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Data'!$A$3:$A$6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'Chart Data'!$B$2:$B$5</c:f>
              <c:numCache>
                <c:formatCode>General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60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C-4CC8-BEB8-5944870807E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 Data'!$E$1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Data'!$D$2:$D$7</c:f>
              <c:strCache>
                <c:ptCount val="6"/>
                <c:pt idx="0">
                  <c:v>📊 Status</c:v>
                </c:pt>
                <c:pt idx="1">
                  <c:v>Open</c:v>
                </c:pt>
                <c:pt idx="2">
                  <c:v>In Progress</c:v>
                </c:pt>
                <c:pt idx="3">
                  <c:v>Fixed</c:v>
                </c:pt>
                <c:pt idx="4">
                  <c:v>Verified</c:v>
                </c:pt>
                <c:pt idx="5">
                  <c:v>Closed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23</c:v>
                </c:pt>
                <c:pt idx="2">
                  <c:v>21</c:v>
                </c:pt>
                <c:pt idx="3">
                  <c:v>47</c:v>
                </c:pt>
                <c:pt idx="4">
                  <c:v>43</c:v>
                </c:pt>
                <c:pt idx="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1-4292-A7AE-A07C2AF92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'Chart Data'!$H$1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Data'!$G$2:$G$11</c:f>
              <c:strCache>
                <c:ptCount val="10"/>
                <c:pt idx="0">
                  <c:v>📦 Module</c:v>
                </c:pt>
                <c:pt idx="1">
                  <c:v>Dashboard</c:v>
                </c:pt>
                <c:pt idx="2">
                  <c:v>Export</c:v>
                </c:pt>
                <c:pt idx="3">
                  <c:v>Payment</c:v>
                </c:pt>
                <c:pt idx="4">
                  <c:v>Admin Panel</c:v>
                </c:pt>
                <c:pt idx="5">
                  <c:v>Search</c:v>
                </c:pt>
                <c:pt idx="6">
                  <c:v>User Mgmt</c:v>
                </c:pt>
                <c:pt idx="7">
                  <c:v>Reports</c:v>
                </c:pt>
                <c:pt idx="8">
                  <c:v>API Gateway</c:v>
                </c:pt>
                <c:pt idx="9">
                  <c:v>Login</c:v>
                </c:pt>
              </c:strCache>
            </c:strRef>
          </c:cat>
          <c:val>
            <c:numRef>
              <c:f>'Chart Data'!$H$2:$H$11</c:f>
              <c:numCache>
                <c:formatCode>General</c:formatCode>
                <c:ptCount val="10"/>
                <c:pt idx="0">
                  <c:v>0</c:v>
                </c:pt>
                <c:pt idx="1">
                  <c:v>26</c:v>
                </c:pt>
                <c:pt idx="2">
                  <c:v>25</c:v>
                </c:pt>
                <c:pt idx="3">
                  <c:v>23</c:v>
                </c:pt>
                <c:pt idx="4">
                  <c:v>22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6-4683-83C1-985BAA42F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Sprint Test Execution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'Chart Data'!$K$2</c:f>
              <c:strCache>
                <c:ptCount val="1"/>
                <c:pt idx="0">
                  <c:v>Passed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Data'!$J$3:$J$10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'Chart Data'!$K$3:$K$10</c:f>
              <c:numCache>
                <c:formatCode>General</c:formatCode>
                <c:ptCount val="8"/>
                <c:pt idx="0">
                  <c:v>71</c:v>
                </c:pt>
                <c:pt idx="1">
                  <c:v>95</c:v>
                </c:pt>
                <c:pt idx="2">
                  <c:v>106</c:v>
                </c:pt>
                <c:pt idx="3">
                  <c:v>75</c:v>
                </c:pt>
                <c:pt idx="4">
                  <c:v>115</c:v>
                </c:pt>
                <c:pt idx="5">
                  <c:v>70</c:v>
                </c:pt>
                <c:pt idx="6">
                  <c:v>77</c:v>
                </c:pt>
                <c:pt idx="7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A-4C6D-AB73-EBB41FF75E95}"/>
            </c:ext>
          </c:extLst>
        </c:ser>
        <c:ser>
          <c:idx val="1"/>
          <c:order val="1"/>
          <c:tx>
            <c:strRef>
              <c:f>'Chart Data'!$L$2</c:f>
              <c:strCache>
                <c:ptCount val="1"/>
                <c:pt idx="0">
                  <c:v>Failed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Data'!$J$3:$J$10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'Chart Data'!$L$3:$L$10</c:f>
              <c:numCache>
                <c:formatCode>General</c:formatCode>
                <c:ptCount val="8"/>
                <c:pt idx="0">
                  <c:v>14</c:v>
                </c:pt>
                <c:pt idx="1">
                  <c:v>6</c:v>
                </c:pt>
                <c:pt idx="2">
                  <c:v>9</c:v>
                </c:pt>
                <c:pt idx="3">
                  <c:v>19</c:v>
                </c:pt>
                <c:pt idx="4">
                  <c:v>8</c:v>
                </c:pt>
                <c:pt idx="5">
                  <c:v>9</c:v>
                </c:pt>
                <c:pt idx="6">
                  <c:v>13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8A-4C6D-AB73-EBB41FF75E95}"/>
            </c:ext>
          </c:extLst>
        </c:ser>
        <c:ser>
          <c:idx val="2"/>
          <c:order val="2"/>
          <c:tx>
            <c:strRef>
              <c:f>'Chart Data'!$M$2</c:f>
              <c:strCache>
                <c:ptCount val="1"/>
                <c:pt idx="0">
                  <c:v>Blocked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Data'!$J$3:$J$10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'Chart Data'!$M$3:$M$10</c:f>
              <c:numCache>
                <c:formatCode>General</c:formatCode>
                <c:ptCount val="8"/>
                <c:pt idx="0">
                  <c:v>9</c:v>
                </c:pt>
                <c:pt idx="1">
                  <c:v>11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  <c:pt idx="5">
                  <c:v>12</c:v>
                </c:pt>
                <c:pt idx="6">
                  <c:v>7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8A-4C6D-AB73-EBB41FF75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3175920490658"/>
          <c:y val="7.0502393083217554E-2"/>
          <c:w val="8.3975467076898166E-2"/>
          <c:h val="0.2127401574803149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'Chart Data'!$Q$1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'Chart Data'!$P$2:$P$9</c:f>
              <c:strCache>
                <c:ptCount val="8"/>
                <c:pt idx="0">
                  <c:v>📅 Month</c:v>
                </c:pt>
                <c:pt idx="1">
                  <c:v>Oct 2025</c:v>
                </c:pt>
                <c:pt idx="2">
                  <c:v>Nov 2025</c:v>
                </c:pt>
                <c:pt idx="3">
                  <c:v>Dec 2025</c:v>
                </c:pt>
                <c:pt idx="4">
                  <c:v>Jan 2026</c:v>
                </c:pt>
                <c:pt idx="5">
                  <c:v>Feb 2026</c:v>
                </c:pt>
                <c:pt idx="6">
                  <c:v>Mar 2026</c:v>
                </c:pt>
                <c:pt idx="7">
                  <c:v>Apr 2026</c:v>
                </c:pt>
              </c:strCache>
            </c:strRef>
          </c:cat>
          <c:val>
            <c:numRef>
              <c:f>'Chart Data'!$Q$2:$Q$9</c:f>
              <c:numCache>
                <c:formatCode>General</c:formatCode>
                <c:ptCount val="8"/>
                <c:pt idx="0">
                  <c:v>0</c:v>
                </c:pt>
                <c:pt idx="1">
                  <c:v>26</c:v>
                </c:pt>
                <c:pt idx="2">
                  <c:v>25</c:v>
                </c:pt>
                <c:pt idx="3">
                  <c:v>40</c:v>
                </c:pt>
                <c:pt idx="4">
                  <c:v>37</c:v>
                </c:pt>
                <c:pt idx="5">
                  <c:v>22</c:v>
                </c:pt>
                <c:pt idx="6">
                  <c:v>36</c:v>
                </c:pt>
                <c:pt idx="7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4C-489E-A257-48A7FF0D8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Bugs Opened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'Chart Data'!$T$2</c:f>
              <c:strCache>
                <c:ptCount val="1"/>
                <c:pt idx="0">
                  <c:v>DRE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'Chart Data'!$S$3:$S$10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'Chart Data'!$T$3:$T$10</c:f>
              <c:numCache>
                <c:formatCode>General</c:formatCode>
                <c:ptCount val="8"/>
                <c:pt idx="0">
                  <c:v>72.400000000000006</c:v>
                </c:pt>
                <c:pt idx="1">
                  <c:v>65.400000000000006</c:v>
                </c:pt>
                <c:pt idx="2">
                  <c:v>83.3</c:v>
                </c:pt>
                <c:pt idx="3">
                  <c:v>70</c:v>
                </c:pt>
                <c:pt idx="4">
                  <c:v>59.3</c:v>
                </c:pt>
                <c:pt idx="5">
                  <c:v>69.2</c:v>
                </c:pt>
                <c:pt idx="6">
                  <c:v>75</c:v>
                </c:pt>
                <c:pt idx="7">
                  <c:v>84.6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B0-413A-89A0-9EB7CD634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DRE %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🧪 Bugs by Test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Data'!$W$2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96-48FD-9BCB-8132B89AD1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96-48FD-9BCB-8132B89AD1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96-48FD-9BCB-8132B89AD1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96-48FD-9BCB-8132B89AD1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96-48FD-9BCB-8132B89AD1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96-48FD-9BCB-8132B89AD16C}"/>
              </c:ext>
            </c:extLst>
          </c:dPt>
          <c:cat>
            <c:strRef>
              <c:f>'Chart Data'!$V$3:$V$8</c:f>
              <c:strCache>
                <c:ptCount val="6"/>
                <c:pt idx="0">
                  <c:v>UAT</c:v>
                </c:pt>
                <c:pt idx="1">
                  <c:v>Integration</c:v>
                </c:pt>
                <c:pt idx="2">
                  <c:v>Regression</c:v>
                </c:pt>
                <c:pt idx="3">
                  <c:v>Unit</c:v>
                </c:pt>
                <c:pt idx="4">
                  <c:v>Performance</c:v>
                </c:pt>
                <c:pt idx="5">
                  <c:v>Smoke</c:v>
                </c:pt>
              </c:strCache>
            </c:strRef>
          </c:cat>
          <c:val>
            <c:numRef>
              <c:f>'Chart Data'!$W$3:$W$8</c:f>
              <c:numCache>
                <c:formatCode>General</c:formatCode>
                <c:ptCount val="6"/>
                <c:pt idx="0">
                  <c:v>32</c:v>
                </c:pt>
                <c:pt idx="1">
                  <c:v>38</c:v>
                </c:pt>
                <c:pt idx="2">
                  <c:v>37</c:v>
                </c:pt>
                <c:pt idx="3">
                  <c:v>31</c:v>
                </c:pt>
                <c:pt idx="4">
                  <c:v>37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6-49F6-8E54-FEE3EAC9F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🌐 Bugs by Environment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Data'!$Z$2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18-47BA-88A6-BD860C1191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18-47BA-88A6-BD860C1191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18-47BA-88A6-BD860C1191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18-47BA-88A6-BD860C119122}"/>
              </c:ext>
            </c:extLst>
          </c:dPt>
          <c:cat>
            <c:strRef>
              <c:f>'Chart Data'!$Y$3:$Y$6</c:f>
              <c:strCache>
                <c:ptCount val="4"/>
                <c:pt idx="0">
                  <c:v>Pre-Prod</c:v>
                </c:pt>
                <c:pt idx="1">
                  <c:v>Dev</c:v>
                </c:pt>
                <c:pt idx="2">
                  <c:v>QA</c:v>
                </c:pt>
                <c:pt idx="3">
                  <c:v>Staging</c:v>
                </c:pt>
              </c:strCache>
            </c:strRef>
          </c:cat>
          <c:val>
            <c:numRef>
              <c:f>'Chart Data'!$Z$3:$Z$6</c:f>
              <c:numCache>
                <c:formatCode>General</c:formatCode>
                <c:ptCount val="4"/>
                <c:pt idx="0">
                  <c:v>57</c:v>
                </c:pt>
                <c:pt idx="1">
                  <c:v>53</c:v>
                </c:pt>
                <c:pt idx="2">
                  <c:v>48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4-4712-B748-DC010115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Sprint Pass Rate %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 Data'!$N$1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Data'!$J$2:$J$10</c:f>
              <c:strCache>
                <c:ptCount val="9"/>
                <c:pt idx="0">
                  <c:v>🏃 Sprint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</c:strCache>
            </c:strRef>
          </c:cat>
          <c:val>
            <c:numRef>
              <c:f>'Chart Data'!$N$2:$N$10</c:f>
              <c:numCache>
                <c:formatCode>General</c:formatCode>
                <c:ptCount val="9"/>
                <c:pt idx="0">
                  <c:v>0</c:v>
                </c:pt>
                <c:pt idx="1">
                  <c:v>75.5</c:v>
                </c:pt>
                <c:pt idx="2">
                  <c:v>84.8</c:v>
                </c:pt>
                <c:pt idx="3">
                  <c:v>86.2</c:v>
                </c:pt>
                <c:pt idx="4">
                  <c:v>72.099999999999994</c:v>
                </c:pt>
                <c:pt idx="5">
                  <c:v>87.8</c:v>
                </c:pt>
                <c:pt idx="6">
                  <c:v>76.900000000000006</c:v>
                </c:pt>
                <c:pt idx="7">
                  <c:v>79.400000000000006</c:v>
                </c:pt>
                <c:pt idx="8">
                  <c:v>73.8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3-4FE4-B97A-D4371364C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Pass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190499</xdr:colOff>
      <xdr:row>11</xdr:row>
      <xdr:rowOff>0</xdr:rowOff>
    </xdr:from>
    <xdr:ext cx="5715000" cy="304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11</xdr:row>
      <xdr:rowOff>0</xdr:rowOff>
    </xdr:from>
    <xdr:ext cx="7410450" cy="3048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29</xdr:row>
      <xdr:rowOff>0</xdr:rowOff>
    </xdr:from>
    <xdr:ext cx="5715000" cy="32385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552449</xdr:colOff>
      <xdr:row>29</xdr:row>
      <xdr:rowOff>0</xdr:rowOff>
    </xdr:from>
    <xdr:ext cx="7410450" cy="32385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190499</xdr:colOff>
      <xdr:row>48</xdr:row>
      <xdr:rowOff>0</xdr:rowOff>
    </xdr:from>
    <xdr:ext cx="5715000" cy="3048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47</xdr:row>
      <xdr:rowOff>219074</xdr:rowOff>
    </xdr:from>
    <xdr:ext cx="7410450" cy="3048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twoCellAnchor>
    <xdr:from>
      <xdr:col>1</xdr:col>
      <xdr:colOff>0</xdr:colOff>
      <xdr:row>65</xdr:row>
      <xdr:rowOff>0</xdr:rowOff>
    </xdr:from>
    <xdr:to>
      <xdr:col>11</xdr:col>
      <xdr:colOff>0</xdr:colOff>
      <xdr:row>81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A58D4B-B451-BBDC-244D-7A21EA733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65</xdr:row>
      <xdr:rowOff>0</xdr:rowOff>
    </xdr:from>
    <xdr:to>
      <xdr:col>24</xdr:col>
      <xdr:colOff>0</xdr:colOff>
      <xdr:row>81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B1B3F2-6C40-CDE0-6586-2701B1FD8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12</xdr:row>
      <xdr:rowOff>114300</xdr:rowOff>
    </xdr:from>
    <xdr:ext cx="7096125" cy="3981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Y184"/>
  <sheetViews>
    <sheetView showGridLines="0" tabSelected="1" workbookViewId="0">
      <selection activeCell="B2" sqref="B2:X2"/>
    </sheetView>
  </sheetViews>
  <sheetFormatPr defaultRowHeight="15" x14ac:dyDescent="0.25"/>
  <cols>
    <col min="1" max="1" width="2.85546875" customWidth="1"/>
    <col min="2" max="2" width="8.85546875" bestFit="1" customWidth="1"/>
    <col min="3" max="10" width="8.5703125" customWidth="1"/>
    <col min="11" max="11" width="8.28515625" bestFit="1" customWidth="1"/>
    <col min="12" max="12" width="8.5703125" customWidth="1"/>
    <col min="13" max="13" width="9.5703125" bestFit="1" customWidth="1"/>
    <col min="14" max="14" width="8.5703125" customWidth="1"/>
    <col min="15" max="15" width="10.7109375" bestFit="1" customWidth="1"/>
    <col min="16" max="16" width="8.5703125" customWidth="1"/>
    <col min="17" max="17" width="6.5703125" bestFit="1" customWidth="1"/>
    <col min="18" max="18" width="8.5703125" customWidth="1"/>
    <col min="19" max="19" width="7.140625" bestFit="1" customWidth="1"/>
    <col min="20" max="24" width="8.5703125" customWidth="1"/>
    <col min="25" max="25" width="2.85546875" customWidth="1"/>
    <col min="26" max="29" width="4" customWidth="1"/>
  </cols>
  <sheetData>
    <row r="1" spans="1:25" ht="15.75" thickBot="1" x14ac:dyDescent="0.3">
      <c r="A1" s="72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2"/>
    </row>
    <row r="2" spans="1:25" ht="32.25" thickTop="1" x14ac:dyDescent="0.25">
      <c r="A2" s="72"/>
      <c r="B2" s="162" t="s">
        <v>0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72"/>
    </row>
    <row r="3" spans="1:25" x14ac:dyDescent="0.25">
      <c r="A3" s="72"/>
      <c r="B3" s="74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72"/>
    </row>
    <row r="4" spans="1:25" ht="15.75" x14ac:dyDescent="0.25">
      <c r="A4" s="72"/>
      <c r="B4" s="173" t="str">
        <f ca="1">"Project: Phoenix Platform   |   Sprint 8 (Current)   |   Total Bugs: "&amp;COUNTA('Bug Tracker'!A:A)-1&amp;"   |   Open: "&amp;COUNTIFS('Bug Tracker'!D:D,"Open")+COUNTIFS('Bug Tracker'!D:D,"In Progress")+COUNTIFS('Bug Tracker'!D:D,"Reopened")&amp;"   |   Critical Open: "&amp;COUNTIFS('Bug Tracker'!C:C,"Critical",'Bug Tracker'!D:D,"Open")+COUNTIFS('Bug Tracker'!C:C,"Critical",'Bug Tracker'!D:D,"In Progress")+COUNTIFS('Bug Tracker'!C:C,"Critical",'Bug Tracker'!D:D,"Reopened")&amp;"   |   Report Date: "&amp;TEXT(TODAY(),"mmmm d, yyyy")</f>
        <v>Project: Phoenix Platform   |   Sprint 8 (Current)   |   Total Bugs: 200   |   Open: 56   |   Critical Open: 1   |   Report Date: May 23, 2026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5"/>
      <c r="Y4" s="72"/>
    </row>
    <row r="5" spans="1:25" x14ac:dyDescent="0.25">
      <c r="A5" s="72"/>
      <c r="B5" s="77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8"/>
      <c r="Y5" s="72"/>
    </row>
    <row r="6" spans="1:25" ht="26.25" x14ac:dyDescent="0.4">
      <c r="A6" s="72"/>
      <c r="B6" s="165" t="s">
        <v>1</v>
      </c>
      <c r="C6" s="166"/>
      <c r="D6" s="166"/>
      <c r="E6" s="72"/>
      <c r="F6" s="169" t="s">
        <v>2</v>
      </c>
      <c r="G6" s="170"/>
      <c r="H6" s="170"/>
      <c r="I6" s="72"/>
      <c r="J6" s="139" t="s">
        <v>3</v>
      </c>
      <c r="K6" s="140"/>
      <c r="L6" s="140"/>
      <c r="M6" s="72"/>
      <c r="N6" s="167" t="s">
        <v>4</v>
      </c>
      <c r="O6" s="168"/>
      <c r="P6" s="168"/>
      <c r="Q6" s="72"/>
      <c r="R6" s="171" t="s">
        <v>5</v>
      </c>
      <c r="S6" s="172"/>
      <c r="T6" s="172"/>
      <c r="U6" s="72"/>
      <c r="V6" s="141" t="s">
        <v>6</v>
      </c>
      <c r="W6" s="142"/>
      <c r="X6" s="143"/>
      <c r="Y6" s="72"/>
    </row>
    <row r="7" spans="1:25" ht="42" x14ac:dyDescent="0.65">
      <c r="A7" s="72"/>
      <c r="B7" s="232">
        <f>COUNTA('Bug Tracker'!A:A)-1</f>
        <v>200</v>
      </c>
      <c r="C7" s="233"/>
      <c r="D7" s="233"/>
      <c r="E7" s="72"/>
      <c r="F7" s="234">
        <f>COUNTIFS('Bug Tracker'!D:D,"Open")+COUNTIFS('Bug Tracker'!D:D,"In Progress")+COUNTIFS('Bug Tracker'!D:D,"Reopened")</f>
        <v>56</v>
      </c>
      <c r="G7" s="235"/>
      <c r="H7" s="235"/>
      <c r="I7" s="72"/>
      <c r="J7" s="236" t="str">
        <f>TEXT(AVERAGE('Test Runs'!F2:F9)/100,"0.0%")</f>
        <v>79.6%</v>
      </c>
      <c r="K7" s="237"/>
      <c r="L7" s="237"/>
      <c r="M7" s="72"/>
      <c r="N7" s="238">
        <f>COUNTIFS('Bug Tracker'!C:C,"Critical",'Bug Tracker'!D:D,"Open")+COUNTIFS('Bug Tracker'!C:C,"Critical",'Bug Tracker'!D:D,"In Progress")+COUNTIFS('Bug Tracker'!C:C,"Critical",'Bug Tracker'!D:D,"Reopened")</f>
        <v>1</v>
      </c>
      <c r="O7" s="239"/>
      <c r="P7" s="239"/>
      <c r="Q7" s="72"/>
      <c r="R7" s="240" cm="1">
        <f t="array" aca="1" ref="R7" ca="1">ROUND(SUMPRODUCT(('Bug Tracker'!J2:J201)*(('Bug Tracker'!D2:D201="Open")+('Bug Tracker'!D2:D201="In Progress")+('Bug Tracker'!D2:D201="Reopened")))/SUMPRODUCT(--((('Bug Tracker'!D2:D201="Open")+('Bug Tracker'!D2:D201="In Progress")+('Bug Tracker'!D2:D201="Reopened"))&gt;0)),1)</f>
        <v>129</v>
      </c>
      <c r="S7" s="241"/>
      <c r="T7" s="241"/>
      <c r="U7" s="72"/>
      <c r="V7" s="242" t="str">
        <f>TEXT((COUNTIFS('Bug Tracker'!D:D,"Closed")+COUNTIFS('Bug Tracker'!D:D,"Fixed")+COUNTIFS('Bug Tracker'!D:D,"Verified"))/(COUNTA('Bug Tracker'!A:A)-1),"0.0%")</f>
        <v>72.0%</v>
      </c>
      <c r="W7" s="243"/>
      <c r="X7" s="244"/>
      <c r="Y7" s="72"/>
    </row>
    <row r="8" spans="1:25" ht="42" customHeight="1" x14ac:dyDescent="0.25">
      <c r="A8" s="72"/>
      <c r="B8" s="176" t="s">
        <v>7</v>
      </c>
      <c r="C8" s="177"/>
      <c r="D8" s="177"/>
      <c r="E8" s="72"/>
      <c r="F8" s="158" t="s">
        <v>487</v>
      </c>
      <c r="G8" s="159"/>
      <c r="H8" s="159"/>
      <c r="I8" s="72"/>
      <c r="J8" s="186" t="s">
        <v>8</v>
      </c>
      <c r="K8" s="187"/>
      <c r="L8" s="187"/>
      <c r="M8" s="72"/>
      <c r="N8" s="160" t="s">
        <v>488</v>
      </c>
      <c r="O8" s="161"/>
      <c r="P8" s="161"/>
      <c r="Q8" s="72"/>
      <c r="R8" s="188" t="s">
        <v>9</v>
      </c>
      <c r="S8" s="189"/>
      <c r="T8" s="189"/>
      <c r="U8" s="72"/>
      <c r="V8" s="178" t="s">
        <v>10</v>
      </c>
      <c r="W8" s="179"/>
      <c r="X8" s="180"/>
      <c r="Y8" s="72"/>
    </row>
    <row r="9" spans="1:25" x14ac:dyDescent="0.25">
      <c r="A9" s="72"/>
      <c r="B9" s="149" t="s">
        <v>11</v>
      </c>
      <c r="C9" s="150"/>
      <c r="D9" s="150"/>
      <c r="E9" s="72"/>
      <c r="F9" s="153" t="s">
        <v>12</v>
      </c>
      <c r="G9" s="154"/>
      <c r="H9" s="154"/>
      <c r="I9" s="72"/>
      <c r="J9" s="182" t="s">
        <v>11</v>
      </c>
      <c r="K9" s="183"/>
      <c r="L9" s="183"/>
      <c r="M9" s="72"/>
      <c r="N9" s="151" t="s">
        <v>13</v>
      </c>
      <c r="O9" s="152"/>
      <c r="P9" s="152"/>
      <c r="Q9" s="72"/>
      <c r="R9" s="184" t="s">
        <v>14</v>
      </c>
      <c r="S9" s="185"/>
      <c r="T9" s="185"/>
      <c r="U9" s="72"/>
      <c r="V9" s="155" t="s">
        <v>15</v>
      </c>
      <c r="W9" s="156"/>
      <c r="X9" s="157"/>
      <c r="Y9" s="72"/>
    </row>
    <row r="10" spans="1:25" x14ac:dyDescent="0.25">
      <c r="A10" s="72"/>
      <c r="B10" s="77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8"/>
      <c r="Y10" s="72"/>
    </row>
    <row r="11" spans="1:25" ht="17.25" x14ac:dyDescent="0.25">
      <c r="A11" s="72"/>
      <c r="B11" s="181" t="s">
        <v>16</v>
      </c>
      <c r="C11" s="147"/>
      <c r="D11" s="147"/>
      <c r="E11" s="147"/>
      <c r="F11" s="147"/>
      <c r="G11" s="147"/>
      <c r="H11" s="147"/>
      <c r="I11" s="147"/>
      <c r="J11" s="147"/>
      <c r="K11" s="147"/>
      <c r="L11" s="146" t="s">
        <v>17</v>
      </c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8"/>
      <c r="Y11" s="72"/>
    </row>
    <row r="12" spans="1:25" x14ac:dyDescent="0.25">
      <c r="A12" s="72"/>
      <c r="B12" s="79"/>
      <c r="C12" s="80"/>
      <c r="D12" s="80"/>
      <c r="E12" s="80"/>
      <c r="F12" s="80"/>
      <c r="G12" s="80"/>
      <c r="H12" s="80"/>
      <c r="I12" s="80"/>
      <c r="J12" s="80"/>
      <c r="K12" s="80"/>
      <c r="L12" s="81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2"/>
      <c r="Y12" s="72"/>
    </row>
    <row r="13" spans="1:25" x14ac:dyDescent="0.25">
      <c r="A13" s="72"/>
      <c r="B13" s="83"/>
      <c r="C13" s="84"/>
      <c r="D13" s="84"/>
      <c r="E13" s="84"/>
      <c r="F13" s="84"/>
      <c r="G13" s="84"/>
      <c r="H13" s="84"/>
      <c r="I13" s="84"/>
      <c r="J13" s="84"/>
      <c r="K13" s="84"/>
      <c r="L13" s="85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6"/>
      <c r="Y13" s="72"/>
    </row>
    <row r="14" spans="1:25" x14ac:dyDescent="0.25">
      <c r="A14" s="72"/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5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6"/>
      <c r="Y14" s="72"/>
    </row>
    <row r="15" spans="1:25" x14ac:dyDescent="0.25">
      <c r="A15" s="72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6"/>
      <c r="Y15" s="72"/>
    </row>
    <row r="16" spans="1:25" x14ac:dyDescent="0.25">
      <c r="A16" s="72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6"/>
      <c r="Y16" s="72"/>
    </row>
    <row r="17" spans="1:25" x14ac:dyDescent="0.25">
      <c r="A17" s="72"/>
      <c r="B17" s="83"/>
      <c r="C17" s="84"/>
      <c r="D17" s="84"/>
      <c r="E17" s="84"/>
      <c r="F17" s="84"/>
      <c r="G17" s="84"/>
      <c r="H17" s="84"/>
      <c r="I17" s="84"/>
      <c r="J17" s="84"/>
      <c r="K17" s="84"/>
      <c r="L17" s="85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6"/>
      <c r="Y17" s="72"/>
    </row>
    <row r="18" spans="1:25" x14ac:dyDescent="0.25">
      <c r="A18" s="72"/>
      <c r="B18" s="83"/>
      <c r="C18" s="84"/>
      <c r="D18" s="84"/>
      <c r="E18" s="84"/>
      <c r="F18" s="84"/>
      <c r="G18" s="84"/>
      <c r="H18" s="84"/>
      <c r="I18" s="84"/>
      <c r="J18" s="84"/>
      <c r="K18" s="84"/>
      <c r="L18" s="85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6"/>
      <c r="Y18" s="72"/>
    </row>
    <row r="19" spans="1:25" x14ac:dyDescent="0.25">
      <c r="A19" s="72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5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6"/>
      <c r="Y19" s="72"/>
    </row>
    <row r="20" spans="1:25" x14ac:dyDescent="0.25">
      <c r="A20" s="72"/>
      <c r="B20" s="83"/>
      <c r="C20" s="84"/>
      <c r="D20" s="84"/>
      <c r="E20" s="84"/>
      <c r="F20" s="84"/>
      <c r="G20" s="84"/>
      <c r="H20" s="84"/>
      <c r="I20" s="84"/>
      <c r="J20" s="84"/>
      <c r="K20" s="84"/>
      <c r="L20" s="85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6"/>
      <c r="Y20" s="72"/>
    </row>
    <row r="21" spans="1:25" x14ac:dyDescent="0.25">
      <c r="A21" s="72"/>
      <c r="B21" s="83"/>
      <c r="C21" s="84"/>
      <c r="D21" s="84"/>
      <c r="E21" s="84"/>
      <c r="F21" s="84"/>
      <c r="G21" s="84"/>
      <c r="H21" s="84"/>
      <c r="I21" s="84"/>
      <c r="J21" s="84"/>
      <c r="K21" s="84"/>
      <c r="L21" s="85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6"/>
      <c r="Y21" s="72"/>
    </row>
    <row r="22" spans="1:25" x14ac:dyDescent="0.25">
      <c r="A22" s="72"/>
      <c r="B22" s="83"/>
      <c r="C22" s="84"/>
      <c r="D22" s="84"/>
      <c r="E22" s="84"/>
      <c r="F22" s="84"/>
      <c r="G22" s="84"/>
      <c r="H22" s="84"/>
      <c r="I22" s="84"/>
      <c r="J22" s="84"/>
      <c r="K22" s="84"/>
      <c r="L22" s="85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6"/>
      <c r="Y22" s="72"/>
    </row>
    <row r="23" spans="1:25" x14ac:dyDescent="0.25">
      <c r="A23" s="72"/>
      <c r="B23" s="83"/>
      <c r="C23" s="84"/>
      <c r="D23" s="84"/>
      <c r="E23" s="84"/>
      <c r="F23" s="84"/>
      <c r="G23" s="84"/>
      <c r="H23" s="84"/>
      <c r="I23" s="84"/>
      <c r="J23" s="84"/>
      <c r="K23" s="84"/>
      <c r="L23" s="85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6"/>
      <c r="Y23" s="72"/>
    </row>
    <row r="24" spans="1:25" x14ac:dyDescent="0.25">
      <c r="A24" s="72"/>
      <c r="B24" s="83"/>
      <c r="C24" s="84"/>
      <c r="D24" s="84"/>
      <c r="E24" s="84"/>
      <c r="F24" s="84"/>
      <c r="G24" s="84"/>
      <c r="H24" s="84"/>
      <c r="I24" s="84"/>
      <c r="J24" s="84"/>
      <c r="K24" s="84"/>
      <c r="L24" s="85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6"/>
      <c r="Y24" s="72"/>
    </row>
    <row r="25" spans="1:25" x14ac:dyDescent="0.25">
      <c r="A25" s="72"/>
      <c r="B25" s="83"/>
      <c r="C25" s="84"/>
      <c r="D25" s="84"/>
      <c r="E25" s="84"/>
      <c r="F25" s="84"/>
      <c r="G25" s="84"/>
      <c r="H25" s="84"/>
      <c r="I25" s="84"/>
      <c r="J25" s="84"/>
      <c r="K25" s="84"/>
      <c r="L25" s="85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6"/>
      <c r="Y25" s="72"/>
    </row>
    <row r="26" spans="1:25" x14ac:dyDescent="0.25">
      <c r="A26" s="72"/>
      <c r="B26" s="83"/>
      <c r="C26" s="84"/>
      <c r="D26" s="84"/>
      <c r="E26" s="84"/>
      <c r="F26" s="84"/>
      <c r="G26" s="84"/>
      <c r="H26" s="84"/>
      <c r="I26" s="84"/>
      <c r="J26" s="84"/>
      <c r="K26" s="84"/>
      <c r="L26" s="85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6"/>
      <c r="Y26" s="72"/>
    </row>
    <row r="27" spans="1:25" x14ac:dyDescent="0.25">
      <c r="A27" s="72"/>
      <c r="B27" s="87"/>
      <c r="C27" s="88"/>
      <c r="D27" s="88"/>
      <c r="E27" s="88"/>
      <c r="F27" s="88"/>
      <c r="G27" s="88"/>
      <c r="H27" s="88"/>
      <c r="I27" s="88"/>
      <c r="J27" s="88"/>
      <c r="K27" s="88"/>
      <c r="L27" s="89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90"/>
      <c r="Y27" s="72"/>
    </row>
    <row r="28" spans="1:25" x14ac:dyDescent="0.25">
      <c r="A28" s="72"/>
      <c r="B28" s="77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8"/>
      <c r="Y28" s="72"/>
    </row>
    <row r="29" spans="1:25" ht="17.25" x14ac:dyDescent="0.25">
      <c r="A29" s="72"/>
      <c r="B29" s="181" t="s">
        <v>18</v>
      </c>
      <c r="C29" s="147"/>
      <c r="D29" s="147"/>
      <c r="E29" s="147"/>
      <c r="F29" s="147"/>
      <c r="G29" s="147"/>
      <c r="H29" s="147"/>
      <c r="I29" s="147"/>
      <c r="J29" s="147"/>
      <c r="K29" s="147"/>
      <c r="L29" s="146" t="s">
        <v>19</v>
      </c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8"/>
      <c r="Y29" s="72"/>
    </row>
    <row r="30" spans="1:25" x14ac:dyDescent="0.25">
      <c r="A30" s="72"/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81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2"/>
      <c r="Y30" s="72"/>
    </row>
    <row r="31" spans="1:25" x14ac:dyDescent="0.25">
      <c r="A31" s="72"/>
      <c r="B31" s="83"/>
      <c r="C31" s="84"/>
      <c r="D31" s="84"/>
      <c r="E31" s="84"/>
      <c r="F31" s="84"/>
      <c r="G31" s="84"/>
      <c r="H31" s="84"/>
      <c r="I31" s="84"/>
      <c r="J31" s="84"/>
      <c r="K31" s="84"/>
      <c r="L31" s="85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6"/>
      <c r="Y31" s="72"/>
    </row>
    <row r="32" spans="1:25" x14ac:dyDescent="0.25">
      <c r="A32" s="72"/>
      <c r="B32" s="83"/>
      <c r="C32" s="84"/>
      <c r="D32" s="84"/>
      <c r="E32" s="84"/>
      <c r="F32" s="84"/>
      <c r="G32" s="84"/>
      <c r="H32" s="84"/>
      <c r="I32" s="84"/>
      <c r="J32" s="84"/>
      <c r="K32" s="84"/>
      <c r="L32" s="85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6"/>
      <c r="Y32" s="72"/>
    </row>
    <row r="33" spans="1:25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6"/>
      <c r="Y33" s="72"/>
    </row>
    <row r="34" spans="1:25" x14ac:dyDescent="0.25">
      <c r="A34" s="72"/>
      <c r="B34" s="83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6"/>
      <c r="Y34" s="72"/>
    </row>
    <row r="35" spans="1:25" x14ac:dyDescent="0.25">
      <c r="A35" s="72"/>
      <c r="B35" s="83"/>
      <c r="C35" s="84"/>
      <c r="D35" s="84"/>
      <c r="E35" s="84"/>
      <c r="F35" s="84"/>
      <c r="G35" s="84"/>
      <c r="H35" s="84"/>
      <c r="I35" s="84"/>
      <c r="J35" s="84"/>
      <c r="K35" s="84"/>
      <c r="L35" s="85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6"/>
      <c r="Y35" s="72"/>
    </row>
    <row r="36" spans="1:25" x14ac:dyDescent="0.25">
      <c r="A36" s="72"/>
      <c r="B36" s="83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6"/>
      <c r="Y36" s="72"/>
    </row>
    <row r="37" spans="1:25" x14ac:dyDescent="0.25">
      <c r="A37" s="72"/>
      <c r="B37" s="83"/>
      <c r="C37" s="84"/>
      <c r="D37" s="84"/>
      <c r="E37" s="84"/>
      <c r="F37" s="84"/>
      <c r="G37" s="84"/>
      <c r="H37" s="84"/>
      <c r="I37" s="84"/>
      <c r="J37" s="84"/>
      <c r="K37" s="84"/>
      <c r="L37" s="85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6"/>
      <c r="Y37" s="72"/>
    </row>
    <row r="38" spans="1:25" x14ac:dyDescent="0.25">
      <c r="A38" s="72"/>
      <c r="B38" s="83"/>
      <c r="C38" s="84"/>
      <c r="D38" s="84"/>
      <c r="E38" s="84"/>
      <c r="F38" s="84"/>
      <c r="G38" s="84"/>
      <c r="H38" s="84"/>
      <c r="I38" s="84"/>
      <c r="J38" s="84"/>
      <c r="K38" s="84"/>
      <c r="L38" s="85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6"/>
      <c r="Y38" s="72"/>
    </row>
    <row r="39" spans="1:25" x14ac:dyDescent="0.25">
      <c r="A39" s="72"/>
      <c r="B39" s="83"/>
      <c r="C39" s="84"/>
      <c r="D39" s="84"/>
      <c r="E39" s="84"/>
      <c r="F39" s="84"/>
      <c r="G39" s="84"/>
      <c r="H39" s="84"/>
      <c r="I39" s="84"/>
      <c r="J39" s="84"/>
      <c r="K39" s="84"/>
      <c r="L39" s="85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6"/>
      <c r="Y39" s="72"/>
    </row>
    <row r="40" spans="1:25" x14ac:dyDescent="0.25">
      <c r="A40" s="72"/>
      <c r="B40" s="83"/>
      <c r="C40" s="84"/>
      <c r="D40" s="84"/>
      <c r="E40" s="84"/>
      <c r="F40" s="84"/>
      <c r="G40" s="84"/>
      <c r="H40" s="84"/>
      <c r="I40" s="84"/>
      <c r="J40" s="84"/>
      <c r="K40" s="84"/>
      <c r="L40" s="85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6"/>
      <c r="Y40" s="72"/>
    </row>
    <row r="41" spans="1:25" x14ac:dyDescent="0.25">
      <c r="A41" s="72"/>
      <c r="B41" s="83"/>
      <c r="C41" s="84"/>
      <c r="D41" s="84"/>
      <c r="E41" s="84"/>
      <c r="F41" s="84"/>
      <c r="G41" s="84"/>
      <c r="H41" s="84"/>
      <c r="I41" s="84"/>
      <c r="J41" s="84"/>
      <c r="K41" s="84"/>
      <c r="L41" s="85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6"/>
      <c r="Y41" s="72"/>
    </row>
    <row r="42" spans="1:25" x14ac:dyDescent="0.25">
      <c r="A42" s="72"/>
      <c r="B42" s="83"/>
      <c r="C42" s="84"/>
      <c r="D42" s="84"/>
      <c r="E42" s="84"/>
      <c r="F42" s="84"/>
      <c r="G42" s="84"/>
      <c r="H42" s="84"/>
      <c r="I42" s="84"/>
      <c r="J42" s="84"/>
      <c r="K42" s="84"/>
      <c r="L42" s="85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6"/>
      <c r="Y42" s="72"/>
    </row>
    <row r="43" spans="1:25" x14ac:dyDescent="0.25">
      <c r="A43" s="72"/>
      <c r="B43" s="83"/>
      <c r="C43" s="84"/>
      <c r="D43" s="84"/>
      <c r="E43" s="84"/>
      <c r="F43" s="84"/>
      <c r="G43" s="84"/>
      <c r="H43" s="84"/>
      <c r="I43" s="84"/>
      <c r="J43" s="84"/>
      <c r="K43" s="84"/>
      <c r="L43" s="85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6"/>
      <c r="Y43" s="72"/>
    </row>
    <row r="44" spans="1:25" x14ac:dyDescent="0.25">
      <c r="A44" s="72"/>
      <c r="B44" s="83"/>
      <c r="C44" s="84"/>
      <c r="D44" s="84"/>
      <c r="E44" s="84"/>
      <c r="F44" s="84"/>
      <c r="G44" s="84"/>
      <c r="H44" s="84"/>
      <c r="I44" s="84"/>
      <c r="J44" s="84"/>
      <c r="K44" s="84"/>
      <c r="L44" s="85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6"/>
      <c r="Y44" s="72"/>
    </row>
    <row r="45" spans="1:25" x14ac:dyDescent="0.25">
      <c r="A45" s="72"/>
      <c r="B45" s="83"/>
      <c r="C45" s="84"/>
      <c r="D45" s="84"/>
      <c r="E45" s="84"/>
      <c r="F45" s="84"/>
      <c r="G45" s="84"/>
      <c r="H45" s="84"/>
      <c r="I45" s="84"/>
      <c r="J45" s="84"/>
      <c r="K45" s="84"/>
      <c r="L45" s="85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6"/>
      <c r="Y45" s="72"/>
    </row>
    <row r="46" spans="1:25" x14ac:dyDescent="0.25">
      <c r="A46" s="72"/>
      <c r="B46" s="87"/>
      <c r="C46" s="88"/>
      <c r="D46" s="88"/>
      <c r="E46" s="88"/>
      <c r="F46" s="88"/>
      <c r="G46" s="88"/>
      <c r="H46" s="88"/>
      <c r="I46" s="88"/>
      <c r="J46" s="88"/>
      <c r="K46" s="88"/>
      <c r="L46" s="89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90"/>
      <c r="Y46" s="72"/>
    </row>
    <row r="47" spans="1:25" ht="24.95" customHeight="1" x14ac:dyDescent="0.25">
      <c r="A47" s="72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72"/>
    </row>
    <row r="48" spans="1:25" ht="17.25" x14ac:dyDescent="0.25">
      <c r="A48" s="72"/>
      <c r="B48" s="181" t="s">
        <v>20</v>
      </c>
      <c r="C48" s="147"/>
      <c r="D48" s="147"/>
      <c r="E48" s="147"/>
      <c r="F48" s="147"/>
      <c r="G48" s="147"/>
      <c r="H48" s="147"/>
      <c r="I48" s="147"/>
      <c r="J48" s="147"/>
      <c r="K48" s="147"/>
      <c r="L48" s="146" t="s">
        <v>21</v>
      </c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8"/>
      <c r="Y48" s="72"/>
    </row>
    <row r="49" spans="1:25" x14ac:dyDescent="0.25">
      <c r="A49" s="72"/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1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2"/>
      <c r="Y49" s="72"/>
    </row>
    <row r="50" spans="1:25" x14ac:dyDescent="0.25">
      <c r="A50" s="72"/>
      <c r="B50" s="83"/>
      <c r="C50" s="84"/>
      <c r="D50" s="84"/>
      <c r="E50" s="84"/>
      <c r="F50" s="84"/>
      <c r="G50" s="84"/>
      <c r="H50" s="84"/>
      <c r="I50" s="84"/>
      <c r="J50" s="84"/>
      <c r="K50" s="84"/>
      <c r="L50" s="85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6"/>
      <c r="Y50" s="72"/>
    </row>
    <row r="51" spans="1:25" x14ac:dyDescent="0.25">
      <c r="A51" s="72"/>
      <c r="B51" s="83"/>
      <c r="C51" s="84"/>
      <c r="D51" s="84"/>
      <c r="E51" s="84"/>
      <c r="F51" s="84"/>
      <c r="G51" s="84"/>
      <c r="H51" s="84"/>
      <c r="I51" s="84"/>
      <c r="J51" s="84"/>
      <c r="K51" s="84"/>
      <c r="L51" s="85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6"/>
      <c r="Y51" s="72"/>
    </row>
    <row r="52" spans="1:25" x14ac:dyDescent="0.25">
      <c r="A52" s="72"/>
      <c r="B52" s="83"/>
      <c r="C52" s="84"/>
      <c r="D52" s="84"/>
      <c r="E52" s="84"/>
      <c r="F52" s="84"/>
      <c r="G52" s="84"/>
      <c r="H52" s="84"/>
      <c r="I52" s="84"/>
      <c r="J52" s="84"/>
      <c r="K52" s="84"/>
      <c r="L52" s="85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6"/>
      <c r="Y52" s="72"/>
    </row>
    <row r="53" spans="1:25" x14ac:dyDescent="0.25">
      <c r="A53" s="72"/>
      <c r="B53" s="83"/>
      <c r="C53" s="84"/>
      <c r="D53" s="84"/>
      <c r="E53" s="84"/>
      <c r="F53" s="84"/>
      <c r="G53" s="84"/>
      <c r="H53" s="84"/>
      <c r="I53" s="84"/>
      <c r="J53" s="84"/>
      <c r="K53" s="84"/>
      <c r="L53" s="85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6"/>
      <c r="Y53" s="72"/>
    </row>
    <row r="54" spans="1:25" x14ac:dyDescent="0.25">
      <c r="A54" s="72"/>
      <c r="B54" s="83"/>
      <c r="C54" s="84"/>
      <c r="D54" s="84"/>
      <c r="E54" s="84"/>
      <c r="F54" s="84"/>
      <c r="G54" s="84"/>
      <c r="H54" s="84"/>
      <c r="I54" s="84"/>
      <c r="J54" s="84"/>
      <c r="K54" s="84"/>
      <c r="L54" s="85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6"/>
      <c r="Y54" s="72"/>
    </row>
    <row r="55" spans="1:25" x14ac:dyDescent="0.25">
      <c r="A55" s="72"/>
      <c r="B55" s="83"/>
      <c r="C55" s="84"/>
      <c r="D55" s="84"/>
      <c r="E55" s="84"/>
      <c r="F55" s="84"/>
      <c r="G55" s="84"/>
      <c r="H55" s="84"/>
      <c r="I55" s="84"/>
      <c r="J55" s="84"/>
      <c r="K55" s="84"/>
      <c r="L55" s="85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6"/>
      <c r="Y55" s="72"/>
    </row>
    <row r="56" spans="1:25" x14ac:dyDescent="0.25">
      <c r="A56" s="72"/>
      <c r="B56" s="83"/>
      <c r="C56" s="84"/>
      <c r="D56" s="84"/>
      <c r="E56" s="84"/>
      <c r="F56" s="84"/>
      <c r="G56" s="84"/>
      <c r="H56" s="84"/>
      <c r="I56" s="84"/>
      <c r="J56" s="84"/>
      <c r="K56" s="84"/>
      <c r="L56" s="85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6"/>
      <c r="Y56" s="72"/>
    </row>
    <row r="57" spans="1:25" x14ac:dyDescent="0.25">
      <c r="A57" s="72"/>
      <c r="B57" s="83"/>
      <c r="C57" s="84"/>
      <c r="D57" s="84"/>
      <c r="E57" s="84"/>
      <c r="F57" s="84"/>
      <c r="G57" s="84"/>
      <c r="H57" s="84"/>
      <c r="I57" s="84"/>
      <c r="J57" s="84"/>
      <c r="K57" s="84"/>
      <c r="L57" s="85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6"/>
      <c r="Y57" s="72"/>
    </row>
    <row r="58" spans="1:25" x14ac:dyDescent="0.25">
      <c r="A58" s="72"/>
      <c r="B58" s="83"/>
      <c r="C58" s="84"/>
      <c r="D58" s="84"/>
      <c r="E58" s="84"/>
      <c r="F58" s="84"/>
      <c r="G58" s="84"/>
      <c r="H58" s="84"/>
      <c r="I58" s="84"/>
      <c r="J58" s="84"/>
      <c r="K58" s="84"/>
      <c r="L58" s="85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6"/>
      <c r="Y58" s="72"/>
    </row>
    <row r="59" spans="1:25" x14ac:dyDescent="0.25">
      <c r="A59" s="72"/>
      <c r="B59" s="83"/>
      <c r="C59" s="84"/>
      <c r="D59" s="84"/>
      <c r="E59" s="84"/>
      <c r="F59" s="84"/>
      <c r="G59" s="84"/>
      <c r="H59" s="84"/>
      <c r="I59" s="84"/>
      <c r="J59" s="84"/>
      <c r="K59" s="84"/>
      <c r="L59" s="85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6"/>
      <c r="Y59" s="72"/>
    </row>
    <row r="60" spans="1:25" x14ac:dyDescent="0.25">
      <c r="A60" s="72"/>
      <c r="B60" s="83"/>
      <c r="C60" s="84"/>
      <c r="D60" s="84"/>
      <c r="E60" s="84"/>
      <c r="F60" s="84"/>
      <c r="G60" s="84"/>
      <c r="H60" s="84"/>
      <c r="I60" s="84"/>
      <c r="J60" s="84"/>
      <c r="K60" s="84"/>
      <c r="L60" s="85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6"/>
      <c r="Y60" s="72"/>
    </row>
    <row r="61" spans="1:25" x14ac:dyDescent="0.25">
      <c r="A61" s="72"/>
      <c r="B61" s="83"/>
      <c r="C61" s="84"/>
      <c r="D61" s="84"/>
      <c r="E61" s="84"/>
      <c r="F61" s="84"/>
      <c r="G61" s="84"/>
      <c r="H61" s="84"/>
      <c r="I61" s="84"/>
      <c r="J61" s="84"/>
      <c r="K61" s="84"/>
      <c r="L61" s="85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6"/>
      <c r="Y61" s="72"/>
    </row>
    <row r="62" spans="1:25" x14ac:dyDescent="0.25">
      <c r="A62" s="72"/>
      <c r="B62" s="83"/>
      <c r="C62" s="84"/>
      <c r="D62" s="84"/>
      <c r="E62" s="84"/>
      <c r="F62" s="84"/>
      <c r="G62" s="84"/>
      <c r="H62" s="84"/>
      <c r="I62" s="84"/>
      <c r="J62" s="84"/>
      <c r="K62" s="84"/>
      <c r="L62" s="85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6"/>
      <c r="Y62" s="72"/>
    </row>
    <row r="63" spans="1:25" x14ac:dyDescent="0.25">
      <c r="A63" s="72"/>
      <c r="B63" s="83"/>
      <c r="C63" s="84"/>
      <c r="D63" s="84"/>
      <c r="E63" s="84"/>
      <c r="F63" s="84"/>
      <c r="G63" s="84"/>
      <c r="H63" s="84"/>
      <c r="I63" s="84"/>
      <c r="J63" s="84"/>
      <c r="K63" s="84"/>
      <c r="L63" s="85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6"/>
      <c r="Y63" s="72"/>
    </row>
    <row r="64" spans="1:25" x14ac:dyDescent="0.25">
      <c r="A64" s="72"/>
      <c r="B64" s="87"/>
      <c r="C64" s="88"/>
      <c r="D64" s="88"/>
      <c r="E64" s="88"/>
      <c r="F64" s="88"/>
      <c r="G64" s="88"/>
      <c r="H64" s="88"/>
      <c r="I64" s="88"/>
      <c r="J64" s="88"/>
      <c r="K64" s="88"/>
      <c r="L64" s="89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90"/>
      <c r="Y64" s="72"/>
    </row>
    <row r="65" spans="1:25" ht="24.95" customHeight="1" thickBot="1" x14ac:dyDescent="0.3">
      <c r="A65" s="72"/>
      <c r="B65" s="194" t="s">
        <v>490</v>
      </c>
      <c r="C65" s="195"/>
      <c r="D65" s="195"/>
      <c r="E65" s="195"/>
      <c r="F65" s="195"/>
      <c r="G65" s="195"/>
      <c r="H65" s="195"/>
      <c r="I65" s="195"/>
      <c r="J65" s="195"/>
      <c r="K65" s="195"/>
      <c r="L65" s="196" t="s">
        <v>491</v>
      </c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7"/>
      <c r="Y65" s="72"/>
    </row>
    <row r="66" spans="1:25" ht="24.95" customHeight="1" x14ac:dyDescent="0.25">
      <c r="A66" s="72"/>
      <c r="B66" s="198"/>
      <c r="C66" s="100"/>
      <c r="D66" s="100"/>
      <c r="E66" s="100"/>
      <c r="F66" s="100"/>
      <c r="G66" s="100"/>
      <c r="H66" s="100"/>
      <c r="I66" s="100"/>
      <c r="J66" s="100"/>
      <c r="K66" s="100"/>
      <c r="L66" s="198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72"/>
    </row>
    <row r="67" spans="1:25" ht="24.95" customHeight="1" x14ac:dyDescent="0.25">
      <c r="A67" s="72"/>
      <c r="B67" s="198"/>
      <c r="C67" s="100"/>
      <c r="D67" s="100"/>
      <c r="E67" s="100"/>
      <c r="F67" s="100"/>
      <c r="G67" s="100"/>
      <c r="H67" s="100"/>
      <c r="I67" s="100"/>
      <c r="J67" s="100"/>
      <c r="K67" s="100"/>
      <c r="L67" s="198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72"/>
    </row>
    <row r="68" spans="1:25" ht="24.95" customHeight="1" x14ac:dyDescent="0.25">
      <c r="A68" s="72"/>
      <c r="B68" s="198"/>
      <c r="C68" s="100"/>
      <c r="D68" s="100"/>
      <c r="E68" s="100"/>
      <c r="F68" s="100"/>
      <c r="G68" s="100"/>
      <c r="H68" s="100"/>
      <c r="I68" s="100"/>
      <c r="J68" s="100"/>
      <c r="K68" s="100"/>
      <c r="L68" s="198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72"/>
    </row>
    <row r="69" spans="1:25" ht="24.95" customHeight="1" x14ac:dyDescent="0.25">
      <c r="A69" s="72"/>
      <c r="B69" s="198"/>
      <c r="C69" s="100"/>
      <c r="D69" s="100"/>
      <c r="E69" s="100"/>
      <c r="F69" s="100"/>
      <c r="G69" s="100"/>
      <c r="H69" s="100"/>
      <c r="I69" s="100"/>
      <c r="J69" s="100"/>
      <c r="K69" s="100"/>
      <c r="L69" s="198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72"/>
    </row>
    <row r="70" spans="1:25" ht="24.95" customHeight="1" x14ac:dyDescent="0.25">
      <c r="A70" s="72"/>
      <c r="B70" s="198"/>
      <c r="C70" s="100"/>
      <c r="D70" s="100"/>
      <c r="E70" s="100"/>
      <c r="F70" s="100"/>
      <c r="G70" s="100"/>
      <c r="H70" s="100"/>
      <c r="I70" s="100"/>
      <c r="J70" s="100"/>
      <c r="K70" s="100"/>
      <c r="L70" s="198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72"/>
    </row>
    <row r="71" spans="1:25" ht="24.95" customHeight="1" x14ac:dyDescent="0.25">
      <c r="A71" s="72"/>
      <c r="B71" s="198"/>
      <c r="C71" s="100"/>
      <c r="D71" s="100"/>
      <c r="E71" s="100"/>
      <c r="F71" s="100"/>
      <c r="G71" s="100"/>
      <c r="H71" s="100"/>
      <c r="I71" s="100"/>
      <c r="J71" s="100"/>
      <c r="K71" s="100"/>
      <c r="L71" s="198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72"/>
    </row>
    <row r="72" spans="1:25" ht="24.95" customHeight="1" x14ac:dyDescent="0.25">
      <c r="A72" s="72"/>
      <c r="B72" s="198"/>
      <c r="C72" s="100"/>
      <c r="D72" s="100"/>
      <c r="E72" s="100"/>
      <c r="F72" s="100"/>
      <c r="G72" s="100"/>
      <c r="H72" s="100"/>
      <c r="I72" s="100"/>
      <c r="J72" s="100"/>
      <c r="K72" s="100"/>
      <c r="L72" s="198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72"/>
    </row>
    <row r="73" spans="1:25" ht="24.95" customHeight="1" x14ac:dyDescent="0.25">
      <c r="A73" s="72"/>
      <c r="B73" s="198"/>
      <c r="C73" s="100"/>
      <c r="D73" s="100"/>
      <c r="E73" s="100"/>
      <c r="F73" s="100"/>
      <c r="G73" s="100"/>
      <c r="H73" s="100"/>
      <c r="I73" s="100"/>
      <c r="J73" s="100"/>
      <c r="K73" s="100"/>
      <c r="L73" s="198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72"/>
    </row>
    <row r="74" spans="1:25" ht="24.95" customHeight="1" x14ac:dyDescent="0.25">
      <c r="A74" s="72"/>
      <c r="B74" s="198"/>
      <c r="C74" s="100"/>
      <c r="D74" s="100"/>
      <c r="E74" s="100"/>
      <c r="F74" s="100"/>
      <c r="G74" s="100"/>
      <c r="H74" s="100"/>
      <c r="I74" s="100"/>
      <c r="J74" s="100"/>
      <c r="K74" s="100"/>
      <c r="L74" s="198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72"/>
    </row>
    <row r="75" spans="1:25" ht="24.95" customHeight="1" x14ac:dyDescent="0.25">
      <c r="A75" s="72"/>
      <c r="B75" s="198"/>
      <c r="C75" s="100"/>
      <c r="D75" s="100"/>
      <c r="E75" s="100"/>
      <c r="F75" s="100"/>
      <c r="G75" s="100"/>
      <c r="H75" s="100"/>
      <c r="I75" s="100"/>
      <c r="J75" s="100"/>
      <c r="K75" s="100"/>
      <c r="L75" s="198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72"/>
    </row>
    <row r="76" spans="1:25" ht="24.95" customHeight="1" x14ac:dyDescent="0.25">
      <c r="A76" s="72"/>
      <c r="B76" s="198"/>
      <c r="C76" s="100"/>
      <c r="D76" s="100"/>
      <c r="E76" s="100"/>
      <c r="F76" s="100"/>
      <c r="G76" s="100"/>
      <c r="H76" s="100"/>
      <c r="I76" s="100"/>
      <c r="J76" s="100"/>
      <c r="K76" s="100"/>
      <c r="L76" s="198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72"/>
    </row>
    <row r="77" spans="1:25" ht="24.95" customHeight="1" x14ac:dyDescent="0.25">
      <c r="A77" s="72"/>
      <c r="B77" s="198"/>
      <c r="C77" s="100"/>
      <c r="D77" s="100"/>
      <c r="E77" s="100"/>
      <c r="F77" s="100"/>
      <c r="G77" s="100"/>
      <c r="H77" s="100"/>
      <c r="I77" s="100"/>
      <c r="J77" s="100"/>
      <c r="K77" s="100"/>
      <c r="L77" s="198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72"/>
    </row>
    <row r="78" spans="1:25" ht="24.95" customHeight="1" x14ac:dyDescent="0.25">
      <c r="A78" s="72"/>
      <c r="B78" s="198"/>
      <c r="C78" s="100"/>
      <c r="D78" s="100"/>
      <c r="E78" s="100"/>
      <c r="F78" s="100"/>
      <c r="G78" s="100"/>
      <c r="H78" s="100"/>
      <c r="I78" s="100"/>
      <c r="J78" s="100"/>
      <c r="K78" s="100"/>
      <c r="L78" s="198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72"/>
    </row>
    <row r="79" spans="1:25" ht="24.95" customHeight="1" x14ac:dyDescent="0.25">
      <c r="A79" s="72"/>
      <c r="B79" s="198"/>
      <c r="C79" s="100"/>
      <c r="D79" s="100"/>
      <c r="E79" s="100"/>
      <c r="F79" s="100"/>
      <c r="G79" s="100"/>
      <c r="H79" s="100"/>
      <c r="I79" s="100"/>
      <c r="J79" s="100"/>
      <c r="K79" s="100"/>
      <c r="L79" s="198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72"/>
    </row>
    <row r="80" spans="1:25" ht="24.95" customHeight="1" x14ac:dyDescent="0.25">
      <c r="A80" s="72"/>
      <c r="B80" s="198"/>
      <c r="C80" s="100"/>
      <c r="D80" s="100"/>
      <c r="E80" s="100"/>
      <c r="F80" s="100"/>
      <c r="G80" s="100"/>
      <c r="H80" s="100"/>
      <c r="I80" s="100"/>
      <c r="J80" s="100"/>
      <c r="K80" s="100"/>
      <c r="L80" s="198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72"/>
    </row>
    <row r="81" spans="1:25" ht="24.95" customHeight="1" x14ac:dyDescent="0.25">
      <c r="A81" s="72"/>
      <c r="B81" s="198"/>
      <c r="C81" s="100"/>
      <c r="D81" s="100"/>
      <c r="E81" s="100"/>
      <c r="F81" s="100"/>
      <c r="G81" s="100"/>
      <c r="H81" s="100"/>
      <c r="I81" s="100"/>
      <c r="J81" s="100"/>
      <c r="K81" s="100"/>
      <c r="L81" s="198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72"/>
    </row>
    <row r="82" spans="1:25" ht="24.95" customHeight="1" thickBot="1" x14ac:dyDescent="0.3">
      <c r="A82" s="72"/>
      <c r="B82" s="198"/>
      <c r="C82" s="100"/>
      <c r="D82" s="100"/>
      <c r="E82" s="100"/>
      <c r="F82" s="100"/>
      <c r="G82" s="100"/>
      <c r="H82" s="100"/>
      <c r="I82" s="100"/>
      <c r="J82" s="100"/>
      <c r="K82" s="100"/>
      <c r="L82" s="198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72"/>
    </row>
    <row r="83" spans="1:25" ht="18.75" x14ac:dyDescent="0.25">
      <c r="A83" s="72"/>
      <c r="B83" s="199" t="s">
        <v>22</v>
      </c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5"/>
      <c r="W83" s="144"/>
      <c r="X83" s="145"/>
      <c r="Y83" s="72"/>
    </row>
    <row r="84" spans="1:25" ht="24.95" customHeight="1" x14ac:dyDescent="0.25">
      <c r="A84" s="72"/>
      <c r="B84" s="200" t="s">
        <v>23</v>
      </c>
      <c r="C84" s="201"/>
      <c r="D84" s="202" t="s">
        <v>24</v>
      </c>
      <c r="E84" s="203"/>
      <c r="F84" s="203"/>
      <c r="G84" s="203"/>
      <c r="H84" s="203"/>
      <c r="I84" s="203"/>
      <c r="J84" s="204"/>
      <c r="K84" s="202" t="s">
        <v>25</v>
      </c>
      <c r="L84" s="204"/>
      <c r="M84" s="202" t="s">
        <v>26</v>
      </c>
      <c r="N84" s="204"/>
      <c r="O84" s="202" t="s">
        <v>27</v>
      </c>
      <c r="P84" s="204"/>
      <c r="Q84" s="202" t="s">
        <v>28</v>
      </c>
      <c r="R84" s="204"/>
      <c r="S84" s="202" t="s">
        <v>29</v>
      </c>
      <c r="T84" s="204"/>
      <c r="U84" s="205" t="s">
        <v>30</v>
      </c>
      <c r="V84" s="206"/>
      <c r="W84" s="73"/>
      <c r="X84" s="91"/>
      <c r="Y84" s="72"/>
    </row>
    <row r="85" spans="1:25" ht="20.100000000000001" customHeight="1" x14ac:dyDescent="0.25">
      <c r="A85" s="72"/>
      <c r="B85" s="92" t="s">
        <v>31</v>
      </c>
      <c r="C85" s="109"/>
      <c r="D85" s="207" t="str">
        <f>IF(B85="","",IFERROR(VLOOKUP(B85,'Bug Tracker'!$A:$L,2,FALSE),"Not Found"))</f>
        <v>[User Mgmt] 500 error</v>
      </c>
      <c r="E85" s="207"/>
      <c r="F85" s="207"/>
      <c r="G85" s="207"/>
      <c r="H85" s="207"/>
      <c r="I85" s="207"/>
      <c r="J85" s="93"/>
      <c r="K85" s="208" t="str">
        <f>IF(B85="","",IFERROR(VLOOKUP(B85,'Bug Tracker'!$A:$L,3,FALSE),""))</f>
        <v>High</v>
      </c>
      <c r="L85" s="93"/>
      <c r="M85" s="209" t="str">
        <f>IF(B85="","",IFERROR(VLOOKUP(B85,'Bug Tracker'!$A:$L,4,FALSE),""))</f>
        <v>Open</v>
      </c>
      <c r="N85" s="93"/>
      <c r="O85" s="209" t="str">
        <f>IF(B85="","",IFERROR(VLOOKUP(B85,'Bug Tracker'!$A:$L,5,FALSE),""))</f>
        <v>Search</v>
      </c>
      <c r="P85" s="93"/>
      <c r="Q85" s="93" t="str">
        <f>IF(B85="","",IFERROR(VLOOKUP(B85,'Bug Tracker'!$A:$L,6,FALSE),""))</f>
        <v>Emma Johnson</v>
      </c>
      <c r="R85" s="93"/>
      <c r="S85" s="209" t="str">
        <f>IF(B85="","",IFERROR(VLOOKUP(B85,'Bug Tracker'!$A:$L,7,FALSE),""))</f>
        <v>Sprint 7</v>
      </c>
      <c r="T85" s="94"/>
      <c r="U85" s="210">
        <f ca="1">IF(B85="","",IFERROR(VLOOKUP(B85,'Bug Tracker'!$A:$L,10,FALSE),""))</f>
        <v>234</v>
      </c>
      <c r="V85" s="211"/>
      <c r="W85" s="73"/>
      <c r="X85" s="91"/>
      <c r="Y85" s="72"/>
    </row>
    <row r="86" spans="1:25" ht="20.100000000000001" customHeight="1" x14ac:dyDescent="0.25">
      <c r="A86" s="72"/>
      <c r="B86" s="95" t="s">
        <v>36</v>
      </c>
      <c r="C86" s="110"/>
      <c r="D86" s="212" t="str">
        <f>IF(B86="","",IFERROR(VLOOKUP(B86,'Bug Tracker'!$A:$L,2,FALSE),"Not Found"))</f>
        <v>[Export] Memory leak</v>
      </c>
      <c r="E86" s="212"/>
      <c r="F86" s="212"/>
      <c r="G86" s="212"/>
      <c r="H86" s="212"/>
      <c r="I86" s="212"/>
      <c r="J86" s="96"/>
      <c r="K86" s="213" t="str">
        <f>IF(B86="","",IFERROR(VLOOKUP(B86,'Bug Tracker'!$A:$L,3,FALSE),""))</f>
        <v>Critical</v>
      </c>
      <c r="L86" s="96"/>
      <c r="M86" s="214" t="str">
        <f>IF(B86="","",IFERROR(VLOOKUP(B86,'Bug Tracker'!$A:$L,4,FALSE),""))</f>
        <v>In Progress</v>
      </c>
      <c r="N86" s="96"/>
      <c r="O86" s="214" t="str">
        <f>IF(B86="","",IFERROR(VLOOKUP(B86,'Bug Tracker'!$A:$L,5,FALSE),""))</f>
        <v>Export</v>
      </c>
      <c r="P86" s="96"/>
      <c r="Q86" s="96" t="str">
        <f>IF(B86="","",IFERROR(VLOOKUP(B86,'Bug Tracker'!$A:$L,6,FALSE),""))</f>
        <v>Bob Martinez</v>
      </c>
      <c r="R86" s="96"/>
      <c r="S86" s="214" t="str">
        <f>IF(B86="","",IFERROR(VLOOKUP(B86,'Bug Tracker'!$A:$L,7,FALSE),""))</f>
        <v>Sprint 7</v>
      </c>
      <c r="T86" s="97"/>
      <c r="U86" s="210">
        <f ca="1">IF(B86="","",IFERROR(VLOOKUP(B86,'Bug Tracker'!$A:$L,10,FALSE),""))</f>
        <v>226</v>
      </c>
      <c r="V86" s="211"/>
      <c r="W86" s="73"/>
      <c r="X86" s="91"/>
      <c r="Y86" s="72"/>
    </row>
    <row r="87" spans="1:25" ht="20.100000000000001" customHeight="1" x14ac:dyDescent="0.25">
      <c r="A87" s="72"/>
      <c r="B87" s="92" t="s">
        <v>40</v>
      </c>
      <c r="C87" s="109"/>
      <c r="D87" s="207" t="str">
        <f>IF(B87="","",IFERROR(VLOOKUP(B87,'Bug Tracker'!$A:$L,2,FALSE),"Not Found"))</f>
        <v>[Dashboard] Missing validation</v>
      </c>
      <c r="E87" s="207"/>
      <c r="F87" s="207"/>
      <c r="G87" s="207"/>
      <c r="H87" s="207"/>
      <c r="I87" s="207"/>
      <c r="J87" s="93"/>
      <c r="K87" s="208" t="str">
        <f>IF(B87="","",IFERROR(VLOOKUP(B87,'Bug Tracker'!$A:$L,3,FALSE),""))</f>
        <v>High</v>
      </c>
      <c r="L87" s="93"/>
      <c r="M87" s="209" t="str">
        <f>IF(B87="","",IFERROR(VLOOKUP(B87,'Bug Tracker'!$A:$L,4,FALSE),""))</f>
        <v>In Progress</v>
      </c>
      <c r="N87" s="93"/>
      <c r="O87" s="209" t="str">
        <f>IF(B87="","",IFERROR(VLOOKUP(B87,'Bug Tracker'!$A:$L,5,FALSE),""))</f>
        <v>Export</v>
      </c>
      <c r="P87" s="93"/>
      <c r="Q87" s="93" t="str">
        <f>IF(B87="","",IFERROR(VLOOKUP(B87,'Bug Tracker'!$A:$L,6,FALSE),""))</f>
        <v>Alice Chen</v>
      </c>
      <c r="R87" s="93"/>
      <c r="S87" s="209" t="str">
        <f>IF(B87="","",IFERROR(VLOOKUP(B87,'Bug Tracker'!$A:$L,7,FALSE),""))</f>
        <v>Sprint 1</v>
      </c>
      <c r="T87" s="94"/>
      <c r="U87" s="210">
        <f ca="1">IF(B87="","",IFERROR(VLOOKUP(B87,'Bug Tracker'!$A:$L,10,FALSE),""))</f>
        <v>188</v>
      </c>
      <c r="V87" s="211"/>
      <c r="W87" s="73"/>
      <c r="X87" s="91"/>
      <c r="Y87" s="72"/>
    </row>
    <row r="88" spans="1:25" ht="20.100000000000001" customHeight="1" x14ac:dyDescent="0.25">
      <c r="A88" s="72"/>
      <c r="B88" s="95" t="s">
        <v>42</v>
      </c>
      <c r="C88" s="110"/>
      <c r="D88" s="212" t="str">
        <f>IF(B88="","",IFERROR(VLOOKUP(B88,'Bug Tracker'!$A:$L,2,FALSE),"Not Found"))</f>
        <v>[Export] Missing validation</v>
      </c>
      <c r="E88" s="212"/>
      <c r="F88" s="212"/>
      <c r="G88" s="212"/>
      <c r="H88" s="212"/>
      <c r="I88" s="212"/>
      <c r="J88" s="96"/>
      <c r="K88" s="213" t="str">
        <f>IF(B88="","",IFERROR(VLOOKUP(B88,'Bug Tracker'!$A:$L,3,FALSE),""))</f>
        <v>High</v>
      </c>
      <c r="L88" s="96"/>
      <c r="M88" s="214" t="str">
        <f>IF(B88="","",IFERROR(VLOOKUP(B88,'Bug Tracker'!$A:$L,4,FALSE),""))</f>
        <v>Reopened</v>
      </c>
      <c r="N88" s="96"/>
      <c r="O88" s="214" t="str">
        <f>IF(B88="","",IFERROR(VLOOKUP(B88,'Bug Tracker'!$A:$L,5,FALSE),""))</f>
        <v>Export</v>
      </c>
      <c r="P88" s="96"/>
      <c r="Q88" s="96" t="str">
        <f>IF(B88="","",IFERROR(VLOOKUP(B88,'Bug Tracker'!$A:$L,6,FALSE),""))</f>
        <v>Bob Martinez</v>
      </c>
      <c r="R88" s="96"/>
      <c r="S88" s="214" t="str">
        <f>IF(B88="","",IFERROR(VLOOKUP(B88,'Bug Tracker'!$A:$L,7,FALSE),""))</f>
        <v>Sprint 2</v>
      </c>
      <c r="T88" s="97"/>
      <c r="U88" s="210">
        <f ca="1">IF(B88="","",IFERROR(VLOOKUP(B88,'Bug Tracker'!$A:$L,10,FALSE),""))</f>
        <v>178</v>
      </c>
      <c r="V88" s="211"/>
      <c r="W88" s="73"/>
      <c r="X88" s="91"/>
      <c r="Y88" s="72"/>
    </row>
    <row r="89" spans="1:25" ht="20.100000000000001" customHeight="1" x14ac:dyDescent="0.25">
      <c r="A89" s="72"/>
      <c r="B89" s="92" t="s">
        <v>45</v>
      </c>
      <c r="C89" s="109"/>
      <c r="D89" s="207" t="str">
        <f>IF(B89="","",IFERROR(VLOOKUP(B89,'Bug Tracker'!$A:$L,2,FALSE),"Not Found"))</f>
        <v>[Admin Panel] Broken link</v>
      </c>
      <c r="E89" s="207"/>
      <c r="F89" s="207"/>
      <c r="G89" s="207"/>
      <c r="H89" s="207"/>
      <c r="I89" s="207"/>
      <c r="J89" s="93"/>
      <c r="K89" s="208" t="str">
        <f>IF(B89="","",IFERROR(VLOOKUP(B89,'Bug Tracker'!$A:$L,3,FALSE),""))</f>
        <v>High</v>
      </c>
      <c r="L89" s="93"/>
      <c r="M89" s="209" t="str">
        <f>IF(B89="","",IFERROR(VLOOKUP(B89,'Bug Tracker'!$A:$L,4,FALSE),""))</f>
        <v>Open</v>
      </c>
      <c r="N89" s="93"/>
      <c r="O89" s="209" t="str">
        <f>IF(B89="","",IFERROR(VLOOKUP(B89,'Bug Tracker'!$A:$L,5,FALSE),""))</f>
        <v>Dashboard</v>
      </c>
      <c r="P89" s="93"/>
      <c r="Q89" s="93" t="str">
        <f>IF(B89="","",IFERROR(VLOOKUP(B89,'Bug Tracker'!$A:$L,6,FALSE),""))</f>
        <v>Grace Patel</v>
      </c>
      <c r="R89" s="93"/>
      <c r="S89" s="209" t="str">
        <f>IF(B89="","",IFERROR(VLOOKUP(B89,'Bug Tracker'!$A:$L,7,FALSE),""))</f>
        <v>Sprint 5</v>
      </c>
      <c r="T89" s="94"/>
      <c r="U89" s="210">
        <f ca="1">IF(B89="","",IFERROR(VLOOKUP(B89,'Bug Tracker'!$A:$L,10,FALSE),""))</f>
        <v>169</v>
      </c>
      <c r="V89" s="211"/>
      <c r="W89" s="73"/>
      <c r="X89" s="91"/>
      <c r="Y89" s="72"/>
    </row>
    <row r="90" spans="1:25" ht="20.100000000000001" customHeight="1" x14ac:dyDescent="0.25">
      <c r="A90" s="72"/>
      <c r="B90" s="95" t="s">
        <v>48</v>
      </c>
      <c r="C90" s="110"/>
      <c r="D90" s="212" t="str">
        <f>IF(B90="","",IFERROR(VLOOKUP(B90,'Bug Tracker'!$A:$L,2,FALSE),"Not Found"))</f>
        <v>[Payment] Crash on load</v>
      </c>
      <c r="E90" s="212"/>
      <c r="F90" s="212"/>
      <c r="G90" s="212"/>
      <c r="H90" s="212"/>
      <c r="I90" s="212"/>
      <c r="J90" s="96"/>
      <c r="K90" s="213" t="str">
        <f>IF(B90="","",IFERROR(VLOOKUP(B90,'Bug Tracker'!$A:$L,3,FALSE),""))</f>
        <v>High</v>
      </c>
      <c r="L90" s="96"/>
      <c r="M90" s="214" t="str">
        <f>IF(B90="","",IFERROR(VLOOKUP(B90,'Bug Tracker'!$A:$L,4,FALSE),""))</f>
        <v>In Progress</v>
      </c>
      <c r="N90" s="96"/>
      <c r="O90" s="214" t="str">
        <f>IF(B90="","",IFERROR(VLOOKUP(B90,'Bug Tracker'!$A:$L,5,FALSE),""))</f>
        <v>Export</v>
      </c>
      <c r="P90" s="96"/>
      <c r="Q90" s="96" t="str">
        <f>IF(B90="","",IFERROR(VLOOKUP(B90,'Bug Tracker'!$A:$L,6,FALSE),""))</f>
        <v>Grace Patel</v>
      </c>
      <c r="R90" s="96"/>
      <c r="S90" s="214" t="str">
        <f>IF(B90="","",IFERROR(VLOOKUP(B90,'Bug Tracker'!$A:$L,7,FALSE),""))</f>
        <v>Sprint 3</v>
      </c>
      <c r="T90" s="97"/>
      <c r="U90" s="210">
        <f ca="1">IF(B90="","",IFERROR(VLOOKUP(B90,'Bug Tracker'!$A:$L,10,FALSE),""))</f>
        <v>165</v>
      </c>
      <c r="V90" s="211"/>
      <c r="W90" s="73"/>
      <c r="X90" s="91"/>
      <c r="Y90" s="72"/>
    </row>
    <row r="91" spans="1:25" ht="20.100000000000001" customHeight="1" x14ac:dyDescent="0.25">
      <c r="A91" s="72"/>
      <c r="B91" s="92" t="s">
        <v>50</v>
      </c>
      <c r="C91" s="109"/>
      <c r="D91" s="207" t="str">
        <f>IF(B91="","",IFERROR(VLOOKUP(B91,'Bug Tracker'!$A:$L,2,FALSE),"Not Found"))</f>
        <v>[Export] NullPointerException</v>
      </c>
      <c r="E91" s="207"/>
      <c r="F91" s="207"/>
      <c r="G91" s="207"/>
      <c r="H91" s="207"/>
      <c r="I91" s="207"/>
      <c r="J91" s="93"/>
      <c r="K91" s="208" t="str">
        <f>IF(B91="","",IFERROR(VLOOKUP(B91,'Bug Tracker'!$A:$L,3,FALSE),""))</f>
        <v>High</v>
      </c>
      <c r="L91" s="93"/>
      <c r="M91" s="209" t="str">
        <f>IF(B91="","",IFERROR(VLOOKUP(B91,'Bug Tracker'!$A:$L,4,FALSE),""))</f>
        <v>Open</v>
      </c>
      <c r="N91" s="93"/>
      <c r="O91" s="209" t="str">
        <f>IF(B91="","",IFERROR(VLOOKUP(B91,'Bug Tracker'!$A:$L,5,FALSE),""))</f>
        <v>Reports</v>
      </c>
      <c r="P91" s="93"/>
      <c r="Q91" s="93" t="str">
        <f>IF(B91="","",IFERROR(VLOOKUP(B91,'Bug Tracker'!$A:$L,6,FALSE),""))</f>
        <v>Alice Chen</v>
      </c>
      <c r="R91" s="93"/>
      <c r="S91" s="209" t="str">
        <f>IF(B91="","",IFERROR(VLOOKUP(B91,'Bug Tracker'!$A:$L,7,FALSE),""))</f>
        <v>Sprint 1</v>
      </c>
      <c r="T91" s="94"/>
      <c r="U91" s="210">
        <f ca="1">IF(B91="","",IFERROR(VLOOKUP(B91,'Bug Tracker'!$A:$L,10,FALSE),""))</f>
        <v>159</v>
      </c>
      <c r="V91" s="211"/>
      <c r="W91" s="73"/>
      <c r="X91" s="91"/>
      <c r="Y91" s="72"/>
    </row>
    <row r="92" spans="1:25" ht="20.100000000000001" customHeight="1" x14ac:dyDescent="0.25">
      <c r="A92" s="72"/>
      <c r="B92" s="95" t="s">
        <v>52</v>
      </c>
      <c r="C92" s="110"/>
      <c r="D92" s="212" t="str">
        <f>IF(B92="","",IFERROR(VLOOKUP(B92,'Bug Tracker'!$A:$L,2,FALSE),"Not Found"))</f>
        <v>[Export] Broken link</v>
      </c>
      <c r="E92" s="212"/>
      <c r="F92" s="212"/>
      <c r="G92" s="212"/>
      <c r="H92" s="212"/>
      <c r="I92" s="212"/>
      <c r="J92" s="96"/>
      <c r="K92" s="213" t="str">
        <f>IF(B92="","",IFERROR(VLOOKUP(B92,'Bug Tracker'!$A:$L,3,FALSE),""))</f>
        <v>High</v>
      </c>
      <c r="L92" s="96"/>
      <c r="M92" s="214" t="str">
        <f>IF(B92="","",IFERROR(VLOOKUP(B92,'Bug Tracker'!$A:$L,4,FALSE),""))</f>
        <v>Reopened</v>
      </c>
      <c r="N92" s="96"/>
      <c r="O92" s="214" t="str">
        <f>IF(B92="","",IFERROR(VLOOKUP(B92,'Bug Tracker'!$A:$L,5,FALSE),""))</f>
        <v>API Gateway</v>
      </c>
      <c r="P92" s="96"/>
      <c r="Q92" s="96" t="str">
        <f>IF(B92="","",IFERROR(VLOOKUP(B92,'Bug Tracker'!$A:$L,6,FALSE),""))</f>
        <v>Grace Patel</v>
      </c>
      <c r="R92" s="96"/>
      <c r="S92" s="214" t="str">
        <f>IF(B92="","",IFERROR(VLOOKUP(B92,'Bug Tracker'!$A:$L,7,FALSE),""))</f>
        <v>Sprint 8</v>
      </c>
      <c r="T92" s="97"/>
      <c r="U92" s="210">
        <f ca="1">IF(B92="","",IFERROR(VLOOKUP(B92,'Bug Tracker'!$A:$L,10,FALSE),""))</f>
        <v>149</v>
      </c>
      <c r="V92" s="211"/>
      <c r="W92" s="73"/>
      <c r="X92" s="91"/>
      <c r="Y92" s="72"/>
    </row>
    <row r="93" spans="1:25" ht="20.100000000000001" customHeight="1" x14ac:dyDescent="0.25">
      <c r="A93" s="72"/>
      <c r="B93" s="92" t="s">
        <v>55</v>
      </c>
      <c r="C93" s="109"/>
      <c r="D93" s="207" t="str">
        <f>IF(B93="","",IFERROR(VLOOKUP(B93,'Bug Tracker'!$A:$L,2,FALSE),"Not Found"))</f>
        <v>[Login] NullPointerException</v>
      </c>
      <c r="E93" s="207"/>
      <c r="F93" s="207"/>
      <c r="G93" s="207"/>
      <c r="H93" s="207"/>
      <c r="I93" s="207"/>
      <c r="J93" s="93"/>
      <c r="K93" s="208" t="str">
        <f>IF(B93="","",IFERROR(VLOOKUP(B93,'Bug Tracker'!$A:$L,3,FALSE),""))</f>
        <v>High</v>
      </c>
      <c r="L93" s="93"/>
      <c r="M93" s="209" t="str">
        <f>IF(B93="","",IFERROR(VLOOKUP(B93,'Bug Tracker'!$A:$L,4,FALSE),""))</f>
        <v>Open</v>
      </c>
      <c r="N93" s="93"/>
      <c r="O93" s="209" t="str">
        <f>IF(B93="","",IFERROR(VLOOKUP(B93,'Bug Tracker'!$A:$L,5,FALSE),""))</f>
        <v>Payment</v>
      </c>
      <c r="P93" s="93"/>
      <c r="Q93" s="93" t="str">
        <f>IF(B93="","",IFERROR(VLOOKUP(B93,'Bug Tracker'!$A:$L,6,FALSE),""))</f>
        <v>Grace Patel</v>
      </c>
      <c r="R93" s="93"/>
      <c r="S93" s="209" t="str">
        <f>IF(B93="","",IFERROR(VLOOKUP(B93,'Bug Tracker'!$A:$L,7,FALSE),""))</f>
        <v>Sprint 1</v>
      </c>
      <c r="T93" s="94"/>
      <c r="U93" s="210">
        <f ca="1">IF(B93="","",IFERROR(VLOOKUP(B93,'Bug Tracker'!$A:$L,10,FALSE),""))</f>
        <v>145</v>
      </c>
      <c r="V93" s="211"/>
      <c r="W93" s="73"/>
      <c r="X93" s="91"/>
      <c r="Y93" s="72"/>
    </row>
    <row r="94" spans="1:25" ht="20.100000000000001" customHeight="1" x14ac:dyDescent="0.25">
      <c r="A94" s="72"/>
      <c r="B94" s="95" t="s">
        <v>57</v>
      </c>
      <c r="C94" s="110"/>
      <c r="D94" s="215" t="str">
        <f>IF(B94="","",IFERROR(VLOOKUP(B94,'Bug Tracker'!$A:$L,2,FALSE),"Not Found"))</f>
        <v>[Dashboard] Memory leak</v>
      </c>
      <c r="E94" s="215"/>
      <c r="F94" s="215"/>
      <c r="G94" s="215"/>
      <c r="H94" s="215"/>
      <c r="I94" s="215"/>
      <c r="J94" s="96"/>
      <c r="K94" s="213" t="str">
        <f>IF(B94="","",IFERROR(VLOOKUP(B94,'Bug Tracker'!$A:$L,3,FALSE),""))</f>
        <v>High</v>
      </c>
      <c r="L94" s="96"/>
      <c r="M94" s="214" t="str">
        <f>IF(B94="","",IFERROR(VLOOKUP(B94,'Bug Tracker'!$A:$L,4,FALSE),""))</f>
        <v>In Progress</v>
      </c>
      <c r="N94" s="96"/>
      <c r="O94" s="214" t="str">
        <f>IF(B94="","",IFERROR(VLOOKUP(B94,'Bug Tracker'!$A:$L,5,FALSE),""))</f>
        <v>API Gateway</v>
      </c>
      <c r="P94" s="96"/>
      <c r="Q94" s="96" t="str">
        <f>IF(B94="","",IFERROR(VLOOKUP(B94,'Bug Tracker'!$A:$L,6,FALSE),""))</f>
        <v>Emma Johnson</v>
      </c>
      <c r="R94" s="96"/>
      <c r="S94" s="214" t="str">
        <f>IF(B94="","",IFERROR(VLOOKUP(B94,'Bug Tracker'!$A:$L,7,FALSE),""))</f>
        <v>Sprint 4</v>
      </c>
      <c r="T94" s="97"/>
      <c r="U94" s="210">
        <f ca="1">IF(B94="","",IFERROR(VLOOKUP(B94,'Bug Tracker'!$A:$L,10,FALSE),""))</f>
        <v>144</v>
      </c>
      <c r="V94" s="211"/>
      <c r="W94" s="73"/>
      <c r="X94" s="91"/>
      <c r="Y94" s="72"/>
    </row>
    <row r="95" spans="1:25" ht="20.100000000000001" customHeight="1" x14ac:dyDescent="0.25">
      <c r="A95" s="72"/>
      <c r="B95" s="92"/>
      <c r="C95" s="111"/>
      <c r="D95" s="216" t="str">
        <f>IF(B95="","",IFERROR(VLOOKUP(B95,'Bug Tracker'!$A:$L,2,FALSE),"Not Found"))</f>
        <v/>
      </c>
      <c r="E95" s="217"/>
      <c r="F95" s="217"/>
      <c r="G95" s="217"/>
      <c r="H95" s="217"/>
      <c r="I95" s="218"/>
      <c r="J95" s="106"/>
      <c r="K95" s="208" t="str">
        <f>IF(B95="","",IFERROR(VLOOKUP(B95,'Bug Tracker'!$A:$L,3,FALSE),""))</f>
        <v/>
      </c>
      <c r="L95" s="98"/>
      <c r="M95" s="209" t="str">
        <f>IF(B95="","",IFERROR(VLOOKUP(B95,'Bug Tracker'!$A:$L,4,FALSE),""))</f>
        <v/>
      </c>
      <c r="N95" s="98"/>
      <c r="O95" s="209" t="str">
        <f>IF(B95="","",IFERROR(VLOOKUP(B95,'Bug Tracker'!$A:$L,5,FALSE),""))</f>
        <v/>
      </c>
      <c r="P95" s="98"/>
      <c r="Q95" s="93" t="str">
        <f>IF(B95="","",IFERROR(VLOOKUP(B95,'Bug Tracker'!$A:$L,6,FALSE),""))</f>
        <v/>
      </c>
      <c r="R95" s="98"/>
      <c r="S95" s="209" t="str">
        <f>IF(B95="","",IFERROR(VLOOKUP(B95,'Bug Tracker'!$A:$L,7,FALSE),""))</f>
        <v/>
      </c>
      <c r="T95" s="99"/>
      <c r="U95" s="219" t="str">
        <f>IF(B95="","",IFERROR(VLOOKUP(B95,'Bug Tracker'!$A:$L,10,FALSE),""))</f>
        <v/>
      </c>
      <c r="V95" s="220"/>
      <c r="W95" s="73"/>
      <c r="X95" s="91"/>
      <c r="Y95" s="72"/>
    </row>
    <row r="96" spans="1:25" ht="20.100000000000001" customHeight="1" x14ac:dyDescent="0.25">
      <c r="A96" s="100"/>
      <c r="B96" s="95"/>
      <c r="C96" s="112"/>
      <c r="D96" s="221" t="str">
        <f>IF(B96="","",IFERROR(VLOOKUP(B96,'Bug Tracker'!$A:$L,2,FALSE),"Not Found"))</f>
        <v/>
      </c>
      <c r="E96" s="222"/>
      <c r="F96" s="222"/>
      <c r="G96" s="222"/>
      <c r="H96" s="222"/>
      <c r="I96" s="223"/>
      <c r="J96" s="107"/>
      <c r="K96" s="213" t="str">
        <f>IF(B96="","",IFERROR(VLOOKUP(B96,'Bug Tracker'!$A:$L,3,FALSE),""))</f>
        <v/>
      </c>
      <c r="L96" s="101"/>
      <c r="M96" s="214" t="str">
        <f>IF(B96="","",IFERROR(VLOOKUP(B96,'Bug Tracker'!$A:$L,4,FALSE),""))</f>
        <v/>
      </c>
      <c r="N96" s="101"/>
      <c r="O96" s="214" t="str">
        <f>IF(B96="","",IFERROR(VLOOKUP(B96,'Bug Tracker'!$A:$L,5,FALSE),""))</f>
        <v/>
      </c>
      <c r="P96" s="101"/>
      <c r="Q96" s="96" t="str">
        <f>IF(B96="","",IFERROR(VLOOKUP(B96,'Bug Tracker'!$A:$L,6,FALSE),""))</f>
        <v/>
      </c>
      <c r="R96" s="101"/>
      <c r="S96" s="214" t="str">
        <f>IF(B96="","",IFERROR(VLOOKUP(B96,'Bug Tracker'!$A:$L,7,FALSE),""))</f>
        <v/>
      </c>
      <c r="T96" s="102"/>
      <c r="U96" s="219" t="str">
        <f>IF(B96="","",IFERROR(VLOOKUP(B96,'Bug Tracker'!$A:$L,10,FALSE),""))</f>
        <v/>
      </c>
      <c r="V96" s="220"/>
      <c r="W96" s="73"/>
      <c r="X96" s="91"/>
      <c r="Y96" s="100"/>
    </row>
    <row r="97" spans="1:25" ht="20.100000000000001" customHeight="1" x14ac:dyDescent="0.25">
      <c r="A97" s="100"/>
      <c r="B97" s="92"/>
      <c r="C97" s="111"/>
      <c r="D97" s="216" t="str">
        <f>IF(B97="","",IFERROR(VLOOKUP(B97,'Bug Tracker'!$A:$L,2,FALSE),"Not Found"))</f>
        <v/>
      </c>
      <c r="E97" s="217"/>
      <c r="F97" s="217"/>
      <c r="G97" s="217"/>
      <c r="H97" s="217"/>
      <c r="I97" s="218"/>
      <c r="J97" s="106"/>
      <c r="K97" s="208" t="str">
        <f>IF(B97="","",IFERROR(VLOOKUP(B97,'Bug Tracker'!$A:$L,3,FALSE),""))</f>
        <v/>
      </c>
      <c r="L97" s="98"/>
      <c r="M97" s="209" t="str">
        <f>IF(B97="","",IFERROR(VLOOKUP(B97,'Bug Tracker'!$A:$L,4,FALSE),""))</f>
        <v/>
      </c>
      <c r="N97" s="98"/>
      <c r="O97" s="209" t="str">
        <f>IF(B97="","",IFERROR(VLOOKUP(B97,'Bug Tracker'!$A:$L,5,FALSE),""))</f>
        <v/>
      </c>
      <c r="P97" s="98"/>
      <c r="Q97" s="93" t="str">
        <f>IF(B97="","",IFERROR(VLOOKUP(B97,'Bug Tracker'!$A:$L,6,FALSE),""))</f>
        <v/>
      </c>
      <c r="R97" s="98"/>
      <c r="S97" s="209" t="str">
        <f>IF(B97="","",IFERROR(VLOOKUP(B97,'Bug Tracker'!$A:$L,7,FALSE),""))</f>
        <v/>
      </c>
      <c r="T97" s="99"/>
      <c r="U97" s="219" t="str">
        <f>IF(B97="","",IFERROR(VLOOKUP(B97,'Bug Tracker'!$A:$L,10,FALSE),""))</f>
        <v/>
      </c>
      <c r="V97" s="220"/>
      <c r="W97" s="73"/>
      <c r="X97" s="91"/>
      <c r="Y97" s="100"/>
    </row>
    <row r="98" spans="1:25" ht="20.100000000000001" customHeight="1" x14ac:dyDescent="0.25">
      <c r="A98" s="100"/>
      <c r="B98" s="95"/>
      <c r="C98" s="112"/>
      <c r="D98" s="221" t="str">
        <f>IF(B98="","",IFERROR(VLOOKUP(B98,'Bug Tracker'!$A:$L,2,FALSE),"Not Found"))</f>
        <v/>
      </c>
      <c r="E98" s="222"/>
      <c r="F98" s="222"/>
      <c r="G98" s="222"/>
      <c r="H98" s="222"/>
      <c r="I98" s="223"/>
      <c r="J98" s="107"/>
      <c r="K98" s="213" t="str">
        <f>IF(B98="","",IFERROR(VLOOKUP(B98,'Bug Tracker'!$A:$L,3,FALSE),""))</f>
        <v/>
      </c>
      <c r="L98" s="101"/>
      <c r="M98" s="214" t="str">
        <f>IF(B98="","",IFERROR(VLOOKUP(B98,'Bug Tracker'!$A:$L,4,FALSE),""))</f>
        <v/>
      </c>
      <c r="N98" s="101"/>
      <c r="O98" s="214" t="str">
        <f>IF(B98="","",IFERROR(VLOOKUP(B98,'Bug Tracker'!$A:$L,5,FALSE),""))</f>
        <v/>
      </c>
      <c r="P98" s="101"/>
      <c r="Q98" s="96" t="str">
        <f>IF(B98="","",IFERROR(VLOOKUP(B98,'Bug Tracker'!$A:$L,6,FALSE),""))</f>
        <v/>
      </c>
      <c r="R98" s="101"/>
      <c r="S98" s="214" t="str">
        <f>IF(B98="","",IFERROR(VLOOKUP(B98,'Bug Tracker'!$A:$L,7,FALSE),""))</f>
        <v/>
      </c>
      <c r="T98" s="102"/>
      <c r="U98" s="219" t="str">
        <f>IF(B98="","",IFERROR(VLOOKUP(B98,'Bug Tracker'!$A:$L,10,FALSE),""))</f>
        <v/>
      </c>
      <c r="V98" s="220"/>
      <c r="W98" s="73"/>
      <c r="X98" s="91"/>
      <c r="Y98" s="100"/>
    </row>
    <row r="99" spans="1:25" ht="20.100000000000001" customHeight="1" x14ac:dyDescent="0.25">
      <c r="A99" s="100"/>
      <c r="B99" s="92"/>
      <c r="C99" s="111"/>
      <c r="D99" s="216" t="str">
        <f>IF(B99="","",IFERROR(VLOOKUP(B99,'Bug Tracker'!$A:$L,2,FALSE),"Not Found"))</f>
        <v/>
      </c>
      <c r="E99" s="217"/>
      <c r="F99" s="217"/>
      <c r="G99" s="217"/>
      <c r="H99" s="217"/>
      <c r="I99" s="218"/>
      <c r="J99" s="106"/>
      <c r="K99" s="208" t="str">
        <f>IF(B99="","",IFERROR(VLOOKUP(B99,'Bug Tracker'!$A:$L,3,FALSE),""))</f>
        <v/>
      </c>
      <c r="L99" s="98"/>
      <c r="M99" s="209" t="str">
        <f>IF(B99="","",IFERROR(VLOOKUP(B99,'Bug Tracker'!$A:$L,4,FALSE),""))</f>
        <v/>
      </c>
      <c r="N99" s="98"/>
      <c r="O99" s="209" t="str">
        <f>IF(B99="","",IFERROR(VLOOKUP(B99,'Bug Tracker'!$A:$L,5,FALSE),""))</f>
        <v/>
      </c>
      <c r="P99" s="98"/>
      <c r="Q99" s="93" t="str">
        <f>IF(B99="","",IFERROR(VLOOKUP(B99,'Bug Tracker'!$A:$L,6,FALSE),""))</f>
        <v/>
      </c>
      <c r="R99" s="98"/>
      <c r="S99" s="209" t="str">
        <f>IF(B99="","",IFERROR(VLOOKUP(B99,'Bug Tracker'!$A:$L,7,FALSE),""))</f>
        <v/>
      </c>
      <c r="T99" s="99"/>
      <c r="U99" s="219" t="str">
        <f>IF(B99="","",IFERROR(VLOOKUP(B99,'Bug Tracker'!$A:$L,10,FALSE),""))</f>
        <v/>
      </c>
      <c r="V99" s="220"/>
      <c r="W99" s="73"/>
      <c r="X99" s="91"/>
      <c r="Y99" s="100"/>
    </row>
    <row r="100" spans="1:25" ht="20.100000000000001" customHeight="1" x14ac:dyDescent="0.25">
      <c r="A100" s="100"/>
      <c r="B100" s="95"/>
      <c r="C100" s="112"/>
      <c r="D100" s="221" t="str">
        <f>IF(B100="","",IFERROR(VLOOKUP(B100,'Bug Tracker'!$A:$L,2,FALSE),"Not Found"))</f>
        <v/>
      </c>
      <c r="E100" s="222"/>
      <c r="F100" s="222"/>
      <c r="G100" s="222"/>
      <c r="H100" s="222"/>
      <c r="I100" s="223"/>
      <c r="J100" s="107"/>
      <c r="K100" s="213" t="str">
        <f>IF(B100="","",IFERROR(VLOOKUP(B100,'Bug Tracker'!$A:$L,3,FALSE),""))</f>
        <v/>
      </c>
      <c r="L100" s="101"/>
      <c r="M100" s="214" t="str">
        <f>IF(B100="","",IFERROR(VLOOKUP(B100,'Bug Tracker'!$A:$L,4,FALSE),""))</f>
        <v/>
      </c>
      <c r="N100" s="101"/>
      <c r="O100" s="214" t="str">
        <f>IF(B100="","",IFERROR(VLOOKUP(B100,'Bug Tracker'!$A:$L,5,FALSE),""))</f>
        <v/>
      </c>
      <c r="P100" s="101"/>
      <c r="Q100" s="96" t="str">
        <f>IF(B100="","",IFERROR(VLOOKUP(B100,'Bug Tracker'!$A:$L,6,FALSE),""))</f>
        <v/>
      </c>
      <c r="R100" s="101"/>
      <c r="S100" s="214" t="str">
        <f>IF(B100="","",IFERROR(VLOOKUP(B100,'Bug Tracker'!$A:$L,7,FALSE),""))</f>
        <v/>
      </c>
      <c r="T100" s="102"/>
      <c r="U100" s="219" t="str">
        <f>IF(B100="","",IFERROR(VLOOKUP(B100,'Bug Tracker'!$A:$L,10,FALSE),""))</f>
        <v/>
      </c>
      <c r="V100" s="220"/>
      <c r="W100" s="73"/>
      <c r="X100" s="91"/>
      <c r="Y100" s="100"/>
    </row>
    <row r="101" spans="1:25" ht="20.100000000000001" customHeight="1" x14ac:dyDescent="0.25">
      <c r="A101" s="100"/>
      <c r="B101" s="92"/>
      <c r="C101" s="111"/>
      <c r="D101" s="216" t="str">
        <f>IF(B101="","",IFERROR(VLOOKUP(B101,'Bug Tracker'!$A:$L,2,FALSE),"Not Found"))</f>
        <v/>
      </c>
      <c r="E101" s="217"/>
      <c r="F101" s="217"/>
      <c r="G101" s="217"/>
      <c r="H101" s="217"/>
      <c r="I101" s="218"/>
      <c r="J101" s="106"/>
      <c r="K101" s="208" t="str">
        <f>IF(B101="","",IFERROR(VLOOKUP(B101,'Bug Tracker'!$A:$L,3,FALSE),""))</f>
        <v/>
      </c>
      <c r="L101" s="98"/>
      <c r="M101" s="209" t="str">
        <f>IF(B101="","",IFERROR(VLOOKUP(B101,'Bug Tracker'!$A:$L,4,FALSE),""))</f>
        <v/>
      </c>
      <c r="N101" s="98"/>
      <c r="O101" s="209" t="str">
        <f>IF(B101="","",IFERROR(VLOOKUP(B101,'Bug Tracker'!$A:$L,5,FALSE),""))</f>
        <v/>
      </c>
      <c r="P101" s="98"/>
      <c r="Q101" s="93" t="str">
        <f>IF(B101="","",IFERROR(VLOOKUP(B101,'Bug Tracker'!$A:$L,6,FALSE),""))</f>
        <v/>
      </c>
      <c r="R101" s="98"/>
      <c r="S101" s="209" t="str">
        <f>IF(B101="","",IFERROR(VLOOKUP(B101,'Bug Tracker'!$A:$L,7,FALSE),""))</f>
        <v/>
      </c>
      <c r="T101" s="99"/>
      <c r="U101" s="219" t="str">
        <f>IF(B101="","",IFERROR(VLOOKUP(B101,'Bug Tracker'!$A:$L,10,FALSE),""))</f>
        <v/>
      </c>
      <c r="V101" s="220"/>
      <c r="W101" s="73"/>
      <c r="X101" s="91"/>
      <c r="Y101" s="100"/>
    </row>
    <row r="102" spans="1:25" ht="20.100000000000001" customHeight="1" x14ac:dyDescent="0.25">
      <c r="A102" s="100"/>
      <c r="B102" s="95"/>
      <c r="C102" s="112"/>
      <c r="D102" s="221" t="str">
        <f>IF(B102="","",IFERROR(VLOOKUP(B102,'Bug Tracker'!$A:$L,2,FALSE),"Not Found"))</f>
        <v/>
      </c>
      <c r="E102" s="222"/>
      <c r="F102" s="222"/>
      <c r="G102" s="222"/>
      <c r="H102" s="222"/>
      <c r="I102" s="223"/>
      <c r="J102" s="107"/>
      <c r="K102" s="213" t="str">
        <f>IF(B102="","",IFERROR(VLOOKUP(B102,'Bug Tracker'!$A:$L,3,FALSE),""))</f>
        <v/>
      </c>
      <c r="L102" s="101"/>
      <c r="M102" s="214" t="str">
        <f>IF(B102="","",IFERROR(VLOOKUP(B102,'Bug Tracker'!$A:$L,4,FALSE),""))</f>
        <v/>
      </c>
      <c r="N102" s="101"/>
      <c r="O102" s="214" t="str">
        <f>IF(B102="","",IFERROR(VLOOKUP(B102,'Bug Tracker'!$A:$L,5,FALSE),""))</f>
        <v/>
      </c>
      <c r="P102" s="101"/>
      <c r="Q102" s="96" t="str">
        <f>IF(B102="","",IFERROR(VLOOKUP(B102,'Bug Tracker'!$A:$L,6,FALSE),""))</f>
        <v/>
      </c>
      <c r="R102" s="101"/>
      <c r="S102" s="214" t="str">
        <f>IF(B102="","",IFERROR(VLOOKUP(B102,'Bug Tracker'!$A:$L,7,FALSE),""))</f>
        <v/>
      </c>
      <c r="T102" s="102"/>
      <c r="U102" s="219" t="str">
        <f>IF(B102="","",IFERROR(VLOOKUP(B102,'Bug Tracker'!$A:$L,10,FALSE),""))</f>
        <v/>
      </c>
      <c r="V102" s="220"/>
      <c r="W102" s="73"/>
      <c r="X102" s="91"/>
      <c r="Y102" s="100"/>
    </row>
    <row r="103" spans="1:25" ht="20.100000000000001" customHeight="1" x14ac:dyDescent="0.25">
      <c r="A103" s="100"/>
      <c r="B103" s="92"/>
      <c r="C103" s="111"/>
      <c r="D103" s="216" t="str">
        <f>IF(B103="","",IFERROR(VLOOKUP(B103,'Bug Tracker'!$A:$L,2,FALSE),"Not Found"))</f>
        <v/>
      </c>
      <c r="E103" s="217"/>
      <c r="F103" s="217"/>
      <c r="G103" s="217"/>
      <c r="H103" s="217"/>
      <c r="I103" s="218"/>
      <c r="J103" s="106"/>
      <c r="K103" s="208" t="str">
        <f>IF(B103="","",IFERROR(VLOOKUP(B103,'Bug Tracker'!$A:$L,3,FALSE),""))</f>
        <v/>
      </c>
      <c r="L103" s="98"/>
      <c r="M103" s="209" t="str">
        <f>IF(B103="","",IFERROR(VLOOKUP(B103,'Bug Tracker'!$A:$L,4,FALSE),""))</f>
        <v/>
      </c>
      <c r="N103" s="98"/>
      <c r="O103" s="209" t="str">
        <f>IF(B103="","",IFERROR(VLOOKUP(B103,'Bug Tracker'!$A:$L,5,FALSE),""))</f>
        <v/>
      </c>
      <c r="P103" s="98"/>
      <c r="Q103" s="93" t="str">
        <f>IF(B103="","",IFERROR(VLOOKUP(B103,'Bug Tracker'!$A:$L,6,FALSE),""))</f>
        <v/>
      </c>
      <c r="R103" s="98"/>
      <c r="S103" s="209" t="str">
        <f>IF(B103="","",IFERROR(VLOOKUP(B103,'Bug Tracker'!$A:$L,7,FALSE),""))</f>
        <v/>
      </c>
      <c r="T103" s="99"/>
      <c r="U103" s="219" t="str">
        <f>IF(B103="","",IFERROR(VLOOKUP(B103,'Bug Tracker'!$A:$L,10,FALSE),""))</f>
        <v/>
      </c>
      <c r="V103" s="220"/>
      <c r="W103" s="73"/>
      <c r="X103" s="91"/>
      <c r="Y103" s="100"/>
    </row>
    <row r="104" spans="1:25" ht="20.100000000000001" customHeight="1" x14ac:dyDescent="0.25">
      <c r="A104" s="100"/>
      <c r="B104" s="95"/>
      <c r="C104" s="112"/>
      <c r="D104" s="221" t="str">
        <f>IF(B104="","",IFERROR(VLOOKUP(B104,'Bug Tracker'!$A:$L,2,FALSE),"Not Found"))</f>
        <v/>
      </c>
      <c r="E104" s="222"/>
      <c r="F104" s="222"/>
      <c r="G104" s="222"/>
      <c r="H104" s="222"/>
      <c r="I104" s="223"/>
      <c r="J104" s="107"/>
      <c r="K104" s="213" t="str">
        <f>IF(B104="","",IFERROR(VLOOKUP(B104,'Bug Tracker'!$A:$L,3,FALSE),""))</f>
        <v/>
      </c>
      <c r="L104" s="101"/>
      <c r="M104" s="214" t="str">
        <f>IF(B104="","",IFERROR(VLOOKUP(B104,'Bug Tracker'!$A:$L,4,FALSE),""))</f>
        <v/>
      </c>
      <c r="N104" s="101"/>
      <c r="O104" s="214" t="str">
        <f>IF(B104="","",IFERROR(VLOOKUP(B104,'Bug Tracker'!$A:$L,5,FALSE),""))</f>
        <v/>
      </c>
      <c r="P104" s="101"/>
      <c r="Q104" s="96" t="str">
        <f>IF(B104="","",IFERROR(VLOOKUP(B104,'Bug Tracker'!$A:$L,6,FALSE),""))</f>
        <v/>
      </c>
      <c r="R104" s="101"/>
      <c r="S104" s="214" t="str">
        <f>IF(B104="","",IFERROR(VLOOKUP(B104,'Bug Tracker'!$A:$L,7,FALSE),""))</f>
        <v/>
      </c>
      <c r="T104" s="102"/>
      <c r="U104" s="219" t="str">
        <f>IF(B104="","",IFERROR(VLOOKUP(B104,'Bug Tracker'!$A:$L,10,FALSE),""))</f>
        <v/>
      </c>
      <c r="V104" s="220"/>
      <c r="W104" s="73"/>
      <c r="X104" s="91"/>
      <c r="Y104" s="100"/>
    </row>
    <row r="105" spans="1:25" ht="20.100000000000001" customHeight="1" x14ac:dyDescent="0.25">
      <c r="A105" s="100"/>
      <c r="B105" s="92"/>
      <c r="C105" s="111"/>
      <c r="D105" s="216" t="str">
        <f>IF(B105="","",IFERROR(VLOOKUP(B105,'Bug Tracker'!$A:$L,2,FALSE),"Not Found"))</f>
        <v/>
      </c>
      <c r="E105" s="217"/>
      <c r="F105" s="217"/>
      <c r="G105" s="217"/>
      <c r="H105" s="217"/>
      <c r="I105" s="218"/>
      <c r="J105" s="106"/>
      <c r="K105" s="208" t="str">
        <f>IF(B105="","",IFERROR(VLOOKUP(B105,'Bug Tracker'!$A:$L,3,FALSE),""))</f>
        <v/>
      </c>
      <c r="L105" s="98"/>
      <c r="M105" s="209" t="str">
        <f>IF(B105="","",IFERROR(VLOOKUP(B105,'Bug Tracker'!$A:$L,4,FALSE),""))</f>
        <v/>
      </c>
      <c r="N105" s="98"/>
      <c r="O105" s="209" t="str">
        <f>IF(B105="","",IFERROR(VLOOKUP(B105,'Bug Tracker'!$A:$L,5,FALSE),""))</f>
        <v/>
      </c>
      <c r="P105" s="98"/>
      <c r="Q105" s="93" t="str">
        <f>IF(B105="","",IFERROR(VLOOKUP(B105,'Bug Tracker'!$A:$L,6,FALSE),""))</f>
        <v/>
      </c>
      <c r="R105" s="98"/>
      <c r="S105" s="209" t="str">
        <f>IF(B105="","",IFERROR(VLOOKUP(B105,'Bug Tracker'!$A:$L,7,FALSE),""))</f>
        <v/>
      </c>
      <c r="T105" s="99"/>
      <c r="U105" s="219" t="str">
        <f>IF(B105="","",IFERROR(VLOOKUP(B105,'Bug Tracker'!$A:$L,10,FALSE),""))</f>
        <v/>
      </c>
      <c r="V105" s="220"/>
      <c r="W105" s="73"/>
      <c r="X105" s="91"/>
      <c r="Y105" s="100"/>
    </row>
    <row r="106" spans="1:25" ht="20.100000000000001" customHeight="1" x14ac:dyDescent="0.25">
      <c r="A106" s="100"/>
      <c r="B106" s="95"/>
      <c r="C106" s="112"/>
      <c r="D106" s="221" t="str">
        <f>IF(B106="","",IFERROR(VLOOKUP(B106,'Bug Tracker'!$A:$L,2,FALSE),"Not Found"))</f>
        <v/>
      </c>
      <c r="E106" s="222"/>
      <c r="F106" s="222"/>
      <c r="G106" s="222"/>
      <c r="H106" s="222"/>
      <c r="I106" s="223"/>
      <c r="J106" s="107"/>
      <c r="K106" s="213" t="str">
        <f>IF(B106="","",IFERROR(VLOOKUP(B106,'Bug Tracker'!$A:$L,3,FALSE),""))</f>
        <v/>
      </c>
      <c r="L106" s="101"/>
      <c r="M106" s="214" t="str">
        <f>IF(B106="","",IFERROR(VLOOKUP(B106,'Bug Tracker'!$A:$L,4,FALSE),""))</f>
        <v/>
      </c>
      <c r="N106" s="101"/>
      <c r="O106" s="214" t="str">
        <f>IF(B106="","",IFERROR(VLOOKUP(B106,'Bug Tracker'!$A:$L,5,FALSE),""))</f>
        <v/>
      </c>
      <c r="P106" s="101"/>
      <c r="Q106" s="96" t="str">
        <f>IF(B106="","",IFERROR(VLOOKUP(B106,'Bug Tracker'!$A:$L,6,FALSE),""))</f>
        <v/>
      </c>
      <c r="R106" s="101"/>
      <c r="S106" s="214" t="str">
        <f>IF(B106="","",IFERROR(VLOOKUP(B106,'Bug Tracker'!$A:$L,7,FALSE),""))</f>
        <v/>
      </c>
      <c r="T106" s="102"/>
      <c r="U106" s="219" t="str">
        <f>IF(B106="","",IFERROR(VLOOKUP(B106,'Bug Tracker'!$A:$L,10,FALSE),""))</f>
        <v/>
      </c>
      <c r="V106" s="220"/>
      <c r="W106" s="73"/>
      <c r="X106" s="91"/>
      <c r="Y106" s="100"/>
    </row>
    <row r="107" spans="1:25" ht="20.100000000000001" customHeight="1" x14ac:dyDescent="0.25">
      <c r="A107" s="100"/>
      <c r="B107" s="92"/>
      <c r="C107" s="111"/>
      <c r="D107" s="216" t="str">
        <f>IF(B107="","",IFERROR(VLOOKUP(B107,'Bug Tracker'!$A:$L,2,FALSE),"Not Found"))</f>
        <v/>
      </c>
      <c r="E107" s="217"/>
      <c r="F107" s="217"/>
      <c r="G107" s="217"/>
      <c r="H107" s="217"/>
      <c r="I107" s="218"/>
      <c r="J107" s="106"/>
      <c r="K107" s="208" t="str">
        <f>IF(B107="","",IFERROR(VLOOKUP(B107,'Bug Tracker'!$A:$L,3,FALSE),""))</f>
        <v/>
      </c>
      <c r="L107" s="98"/>
      <c r="M107" s="209" t="str">
        <f>IF(B107="","",IFERROR(VLOOKUP(B107,'Bug Tracker'!$A:$L,4,FALSE),""))</f>
        <v/>
      </c>
      <c r="N107" s="98"/>
      <c r="O107" s="209" t="str">
        <f>IF(B107="","",IFERROR(VLOOKUP(B107,'Bug Tracker'!$A:$L,5,FALSE),""))</f>
        <v/>
      </c>
      <c r="P107" s="98"/>
      <c r="Q107" s="93" t="str">
        <f>IF(B107="","",IFERROR(VLOOKUP(B107,'Bug Tracker'!$A:$L,6,FALSE),""))</f>
        <v/>
      </c>
      <c r="R107" s="98"/>
      <c r="S107" s="209" t="str">
        <f>IF(B107="","",IFERROR(VLOOKUP(B107,'Bug Tracker'!$A:$L,7,FALSE),""))</f>
        <v/>
      </c>
      <c r="T107" s="99"/>
      <c r="U107" s="219" t="str">
        <f>IF(B107="","",IFERROR(VLOOKUP(B107,'Bug Tracker'!$A:$L,10,FALSE),""))</f>
        <v/>
      </c>
      <c r="V107" s="220"/>
      <c r="W107" s="73"/>
      <c r="X107" s="91"/>
      <c r="Y107" s="100"/>
    </row>
    <row r="108" spans="1:25" ht="20.100000000000001" customHeight="1" x14ac:dyDescent="0.25">
      <c r="A108" s="100"/>
      <c r="B108" s="95"/>
      <c r="C108" s="112"/>
      <c r="D108" s="221" t="str">
        <f>IF(B108="","",IFERROR(VLOOKUP(B108,'Bug Tracker'!$A:$L,2,FALSE),"Not Found"))</f>
        <v/>
      </c>
      <c r="E108" s="222"/>
      <c r="F108" s="222"/>
      <c r="G108" s="222"/>
      <c r="H108" s="222"/>
      <c r="I108" s="223"/>
      <c r="J108" s="107"/>
      <c r="K108" s="213" t="str">
        <f>IF(B108="","",IFERROR(VLOOKUP(B108,'Bug Tracker'!$A:$L,3,FALSE),""))</f>
        <v/>
      </c>
      <c r="L108" s="101"/>
      <c r="M108" s="214" t="str">
        <f>IF(B108="","",IFERROR(VLOOKUP(B108,'Bug Tracker'!$A:$L,4,FALSE),""))</f>
        <v/>
      </c>
      <c r="N108" s="101"/>
      <c r="O108" s="214" t="str">
        <f>IF(B108="","",IFERROR(VLOOKUP(B108,'Bug Tracker'!$A:$L,5,FALSE),""))</f>
        <v/>
      </c>
      <c r="P108" s="101"/>
      <c r="Q108" s="96" t="str">
        <f>IF(B108="","",IFERROR(VLOOKUP(B108,'Bug Tracker'!$A:$L,6,FALSE),""))</f>
        <v/>
      </c>
      <c r="R108" s="101"/>
      <c r="S108" s="214" t="str">
        <f>IF(B108="","",IFERROR(VLOOKUP(B108,'Bug Tracker'!$A:$L,7,FALSE),""))</f>
        <v/>
      </c>
      <c r="T108" s="102"/>
      <c r="U108" s="219" t="str">
        <f>IF(B108="","",IFERROR(VLOOKUP(B108,'Bug Tracker'!$A:$L,10,FALSE),""))</f>
        <v/>
      </c>
      <c r="V108" s="220"/>
      <c r="W108" s="73"/>
      <c r="X108" s="91"/>
      <c r="Y108" s="100"/>
    </row>
    <row r="109" spans="1:25" ht="20.100000000000001" customHeight="1" x14ac:dyDescent="0.25">
      <c r="A109" s="100"/>
      <c r="B109" s="92"/>
      <c r="C109" s="111"/>
      <c r="D109" s="216" t="str">
        <f>IF(B109="","",IFERROR(VLOOKUP(B109,'Bug Tracker'!$A:$L,2,FALSE),"Not Found"))</f>
        <v/>
      </c>
      <c r="E109" s="217"/>
      <c r="F109" s="217"/>
      <c r="G109" s="217"/>
      <c r="H109" s="217"/>
      <c r="I109" s="218"/>
      <c r="J109" s="106"/>
      <c r="K109" s="208" t="str">
        <f>IF(B109="","",IFERROR(VLOOKUP(B109,'Bug Tracker'!$A:$L,3,FALSE),""))</f>
        <v/>
      </c>
      <c r="L109" s="98"/>
      <c r="M109" s="209" t="str">
        <f>IF(B109="","",IFERROR(VLOOKUP(B109,'Bug Tracker'!$A:$L,4,FALSE),""))</f>
        <v/>
      </c>
      <c r="N109" s="98"/>
      <c r="O109" s="209" t="str">
        <f>IF(B109="","",IFERROR(VLOOKUP(B109,'Bug Tracker'!$A:$L,5,FALSE),""))</f>
        <v/>
      </c>
      <c r="P109" s="98"/>
      <c r="Q109" s="93" t="str">
        <f>IF(B109="","",IFERROR(VLOOKUP(B109,'Bug Tracker'!$A:$L,6,FALSE),""))</f>
        <v/>
      </c>
      <c r="R109" s="98"/>
      <c r="S109" s="209" t="str">
        <f>IF(B109="","",IFERROR(VLOOKUP(B109,'Bug Tracker'!$A:$L,7,FALSE),""))</f>
        <v/>
      </c>
      <c r="T109" s="99"/>
      <c r="U109" s="219" t="str">
        <f>IF(B109="","",IFERROR(VLOOKUP(B109,'Bug Tracker'!$A:$L,10,FALSE),""))</f>
        <v/>
      </c>
      <c r="V109" s="220"/>
      <c r="W109" s="73"/>
      <c r="X109" s="91"/>
      <c r="Y109" s="100"/>
    </row>
    <row r="110" spans="1:25" ht="20.100000000000001" customHeight="1" x14ac:dyDescent="0.25">
      <c r="A110" s="100"/>
      <c r="B110" s="95"/>
      <c r="C110" s="112"/>
      <c r="D110" s="221" t="str">
        <f>IF(B110="","",IFERROR(VLOOKUP(B110,'Bug Tracker'!$A:$L,2,FALSE),"Not Found"))</f>
        <v/>
      </c>
      <c r="E110" s="222"/>
      <c r="F110" s="222"/>
      <c r="G110" s="222"/>
      <c r="H110" s="222"/>
      <c r="I110" s="223"/>
      <c r="J110" s="107"/>
      <c r="K110" s="213" t="str">
        <f>IF(B110="","",IFERROR(VLOOKUP(B110,'Bug Tracker'!$A:$L,3,FALSE),""))</f>
        <v/>
      </c>
      <c r="L110" s="101"/>
      <c r="M110" s="214" t="str">
        <f>IF(B110="","",IFERROR(VLOOKUP(B110,'Bug Tracker'!$A:$L,4,FALSE),""))</f>
        <v/>
      </c>
      <c r="N110" s="101"/>
      <c r="O110" s="214" t="str">
        <f>IF(B110="","",IFERROR(VLOOKUP(B110,'Bug Tracker'!$A:$L,5,FALSE),""))</f>
        <v/>
      </c>
      <c r="P110" s="101"/>
      <c r="Q110" s="96" t="str">
        <f>IF(B110="","",IFERROR(VLOOKUP(B110,'Bug Tracker'!$A:$L,6,FALSE),""))</f>
        <v/>
      </c>
      <c r="R110" s="101"/>
      <c r="S110" s="214" t="str">
        <f>IF(B110="","",IFERROR(VLOOKUP(B110,'Bug Tracker'!$A:$L,7,FALSE),""))</f>
        <v/>
      </c>
      <c r="T110" s="102"/>
      <c r="U110" s="219" t="str">
        <f>IF(B110="","",IFERROR(VLOOKUP(B110,'Bug Tracker'!$A:$L,10,FALSE),""))</f>
        <v/>
      </c>
      <c r="V110" s="220"/>
      <c r="W110" s="73"/>
      <c r="X110" s="91"/>
      <c r="Y110" s="100"/>
    </row>
    <row r="111" spans="1:25" ht="20.100000000000001" customHeight="1" x14ac:dyDescent="0.25">
      <c r="A111" s="100"/>
      <c r="B111" s="92"/>
      <c r="C111" s="111"/>
      <c r="D111" s="216" t="str">
        <f>IF(B111="","",IFERROR(VLOOKUP(B111,'Bug Tracker'!$A:$L,2,FALSE),"Not Found"))</f>
        <v/>
      </c>
      <c r="E111" s="217"/>
      <c r="F111" s="217"/>
      <c r="G111" s="217"/>
      <c r="H111" s="217"/>
      <c r="I111" s="218"/>
      <c r="J111" s="106"/>
      <c r="K111" s="208" t="str">
        <f>IF(B111="","",IFERROR(VLOOKUP(B111,'Bug Tracker'!$A:$L,3,FALSE),""))</f>
        <v/>
      </c>
      <c r="L111" s="98"/>
      <c r="M111" s="209" t="str">
        <f>IF(B111="","",IFERROR(VLOOKUP(B111,'Bug Tracker'!$A:$L,4,FALSE),""))</f>
        <v/>
      </c>
      <c r="N111" s="98"/>
      <c r="O111" s="209" t="str">
        <f>IF(B111="","",IFERROR(VLOOKUP(B111,'Bug Tracker'!$A:$L,5,FALSE),""))</f>
        <v/>
      </c>
      <c r="P111" s="98"/>
      <c r="Q111" s="93" t="str">
        <f>IF(B111="","",IFERROR(VLOOKUP(B111,'Bug Tracker'!$A:$L,6,FALSE),""))</f>
        <v/>
      </c>
      <c r="R111" s="98"/>
      <c r="S111" s="209" t="str">
        <f>IF(B111="","",IFERROR(VLOOKUP(B111,'Bug Tracker'!$A:$L,7,FALSE),""))</f>
        <v/>
      </c>
      <c r="T111" s="99"/>
      <c r="U111" s="219" t="str">
        <f>IF(B111="","",IFERROR(VLOOKUP(B111,'Bug Tracker'!$A:$L,10,FALSE),""))</f>
        <v/>
      </c>
      <c r="V111" s="220"/>
      <c r="W111" s="73"/>
      <c r="X111" s="91"/>
      <c r="Y111" s="100"/>
    </row>
    <row r="112" spans="1:25" ht="20.100000000000001" customHeight="1" x14ac:dyDescent="0.25">
      <c r="A112" s="100"/>
      <c r="B112" s="95"/>
      <c r="C112" s="112"/>
      <c r="D112" s="221" t="str">
        <f>IF(B112="","",IFERROR(VLOOKUP(B112,'Bug Tracker'!$A:$L,2,FALSE),"Not Found"))</f>
        <v/>
      </c>
      <c r="E112" s="222"/>
      <c r="F112" s="222"/>
      <c r="G112" s="222"/>
      <c r="H112" s="222"/>
      <c r="I112" s="223"/>
      <c r="J112" s="107"/>
      <c r="K112" s="213" t="str">
        <f>IF(B112="","",IFERROR(VLOOKUP(B112,'Bug Tracker'!$A:$L,3,FALSE),""))</f>
        <v/>
      </c>
      <c r="L112" s="101"/>
      <c r="M112" s="214" t="str">
        <f>IF(B112="","",IFERROR(VLOOKUP(B112,'Bug Tracker'!$A:$L,4,FALSE),""))</f>
        <v/>
      </c>
      <c r="N112" s="101"/>
      <c r="O112" s="214" t="str">
        <f>IF(B112="","",IFERROR(VLOOKUP(B112,'Bug Tracker'!$A:$L,5,FALSE),""))</f>
        <v/>
      </c>
      <c r="P112" s="101"/>
      <c r="Q112" s="96" t="str">
        <f>IF(B112="","",IFERROR(VLOOKUP(B112,'Bug Tracker'!$A:$L,6,FALSE),""))</f>
        <v/>
      </c>
      <c r="R112" s="101"/>
      <c r="S112" s="214" t="str">
        <f>IF(B112="","",IFERROR(VLOOKUP(B112,'Bug Tracker'!$A:$L,7,FALSE),""))</f>
        <v/>
      </c>
      <c r="T112" s="102"/>
      <c r="U112" s="219" t="str">
        <f>IF(B112="","",IFERROR(VLOOKUP(B112,'Bug Tracker'!$A:$L,10,FALSE),""))</f>
        <v/>
      </c>
      <c r="V112" s="220"/>
      <c r="W112" s="73"/>
      <c r="X112" s="91"/>
      <c r="Y112" s="100"/>
    </row>
    <row r="113" spans="1:25" ht="20.100000000000001" customHeight="1" x14ac:dyDescent="0.25">
      <c r="A113" s="100"/>
      <c r="B113" s="92"/>
      <c r="C113" s="111"/>
      <c r="D113" s="216" t="str">
        <f>IF(B113="","",IFERROR(VLOOKUP(B113,'Bug Tracker'!$A:$L,2,FALSE),"Not Found"))</f>
        <v/>
      </c>
      <c r="E113" s="217"/>
      <c r="F113" s="217"/>
      <c r="G113" s="217"/>
      <c r="H113" s="217"/>
      <c r="I113" s="218"/>
      <c r="J113" s="106"/>
      <c r="K113" s="208" t="str">
        <f>IF(B113="","",IFERROR(VLOOKUP(B113,'Bug Tracker'!$A:$L,3,FALSE),""))</f>
        <v/>
      </c>
      <c r="L113" s="98"/>
      <c r="M113" s="209" t="str">
        <f>IF(B113="","",IFERROR(VLOOKUP(B113,'Bug Tracker'!$A:$L,4,FALSE),""))</f>
        <v/>
      </c>
      <c r="N113" s="98"/>
      <c r="O113" s="209" t="str">
        <f>IF(B113="","",IFERROR(VLOOKUP(B113,'Bug Tracker'!$A:$L,5,FALSE),""))</f>
        <v/>
      </c>
      <c r="P113" s="98"/>
      <c r="Q113" s="93" t="str">
        <f>IF(B113="","",IFERROR(VLOOKUP(B113,'Bug Tracker'!$A:$L,6,FALSE),""))</f>
        <v/>
      </c>
      <c r="R113" s="98"/>
      <c r="S113" s="209" t="str">
        <f>IF(B113="","",IFERROR(VLOOKUP(B113,'Bug Tracker'!$A:$L,7,FALSE),""))</f>
        <v/>
      </c>
      <c r="T113" s="99"/>
      <c r="U113" s="219" t="str">
        <f>IF(B113="","",IFERROR(VLOOKUP(B113,'Bug Tracker'!$A:$L,10,FALSE),""))</f>
        <v/>
      </c>
      <c r="V113" s="220"/>
      <c r="W113" s="73"/>
      <c r="X113" s="91"/>
      <c r="Y113" s="100"/>
    </row>
    <row r="114" spans="1:25" ht="20.100000000000001" customHeight="1" x14ac:dyDescent="0.25">
      <c r="A114" s="100"/>
      <c r="B114" s="95"/>
      <c r="C114" s="112"/>
      <c r="D114" s="221" t="str">
        <f>IF(B114="","",IFERROR(VLOOKUP(B114,'Bug Tracker'!$A:$L,2,FALSE),"Not Found"))</f>
        <v/>
      </c>
      <c r="E114" s="222"/>
      <c r="F114" s="222"/>
      <c r="G114" s="222"/>
      <c r="H114" s="222"/>
      <c r="I114" s="223"/>
      <c r="J114" s="107"/>
      <c r="K114" s="213" t="str">
        <f>IF(B114="","",IFERROR(VLOOKUP(B114,'Bug Tracker'!$A:$L,3,FALSE),""))</f>
        <v/>
      </c>
      <c r="L114" s="101"/>
      <c r="M114" s="214" t="str">
        <f>IF(B114="","",IFERROR(VLOOKUP(B114,'Bug Tracker'!$A:$L,4,FALSE),""))</f>
        <v/>
      </c>
      <c r="N114" s="101"/>
      <c r="O114" s="214" t="str">
        <f>IF(B114="","",IFERROR(VLOOKUP(B114,'Bug Tracker'!$A:$L,5,FALSE),""))</f>
        <v/>
      </c>
      <c r="P114" s="101"/>
      <c r="Q114" s="96" t="str">
        <f>IF(B114="","",IFERROR(VLOOKUP(B114,'Bug Tracker'!$A:$L,6,FALSE),""))</f>
        <v/>
      </c>
      <c r="R114" s="101"/>
      <c r="S114" s="214" t="str">
        <f>IF(B114="","",IFERROR(VLOOKUP(B114,'Bug Tracker'!$A:$L,7,FALSE),""))</f>
        <v/>
      </c>
      <c r="T114" s="102"/>
      <c r="U114" s="219" t="str">
        <f>IF(B114="","",IFERROR(VLOOKUP(B114,'Bug Tracker'!$A:$L,10,FALSE),""))</f>
        <v/>
      </c>
      <c r="V114" s="220"/>
      <c r="W114" s="73"/>
      <c r="X114" s="91"/>
      <c r="Y114" s="100"/>
    </row>
    <row r="115" spans="1:25" ht="20.100000000000001" customHeight="1" x14ac:dyDescent="0.25">
      <c r="A115" s="100"/>
      <c r="B115" s="92"/>
      <c r="C115" s="111"/>
      <c r="D115" s="216" t="str">
        <f>IF(B115="","",IFERROR(VLOOKUP(B115,'Bug Tracker'!$A:$L,2,FALSE),"Not Found"))</f>
        <v/>
      </c>
      <c r="E115" s="217"/>
      <c r="F115" s="217"/>
      <c r="G115" s="217"/>
      <c r="H115" s="217"/>
      <c r="I115" s="218"/>
      <c r="J115" s="106"/>
      <c r="K115" s="208" t="str">
        <f>IF(B115="","",IFERROR(VLOOKUP(B115,'Bug Tracker'!$A:$L,3,FALSE),""))</f>
        <v/>
      </c>
      <c r="L115" s="98"/>
      <c r="M115" s="209" t="str">
        <f>IF(B115="","",IFERROR(VLOOKUP(B115,'Bug Tracker'!$A:$L,4,FALSE),""))</f>
        <v/>
      </c>
      <c r="N115" s="98"/>
      <c r="O115" s="209" t="str">
        <f>IF(B115="","",IFERROR(VLOOKUP(B115,'Bug Tracker'!$A:$L,5,FALSE),""))</f>
        <v/>
      </c>
      <c r="P115" s="98"/>
      <c r="Q115" s="93" t="str">
        <f>IF(B115="","",IFERROR(VLOOKUP(B115,'Bug Tracker'!$A:$L,6,FALSE),""))</f>
        <v/>
      </c>
      <c r="R115" s="98"/>
      <c r="S115" s="209" t="str">
        <f>IF(B115="","",IFERROR(VLOOKUP(B115,'Bug Tracker'!$A:$L,7,FALSE),""))</f>
        <v/>
      </c>
      <c r="T115" s="99"/>
      <c r="U115" s="219" t="str">
        <f>IF(B115="","",IFERROR(VLOOKUP(B115,'Bug Tracker'!$A:$L,10,FALSE),""))</f>
        <v/>
      </c>
      <c r="V115" s="220"/>
      <c r="W115" s="73"/>
      <c r="X115" s="91"/>
      <c r="Y115" s="100"/>
    </row>
    <row r="116" spans="1:25" ht="20.100000000000001" customHeight="1" x14ac:dyDescent="0.25">
      <c r="A116" s="100"/>
      <c r="B116" s="95"/>
      <c r="C116" s="112"/>
      <c r="D116" s="221" t="str">
        <f>IF(B116="","",IFERROR(VLOOKUP(B116,'Bug Tracker'!$A:$L,2,FALSE),"Not Found"))</f>
        <v/>
      </c>
      <c r="E116" s="222"/>
      <c r="F116" s="222"/>
      <c r="G116" s="222"/>
      <c r="H116" s="222"/>
      <c r="I116" s="223"/>
      <c r="J116" s="107"/>
      <c r="K116" s="213" t="str">
        <f>IF(B116="","",IFERROR(VLOOKUP(B116,'Bug Tracker'!$A:$L,3,FALSE),""))</f>
        <v/>
      </c>
      <c r="L116" s="101"/>
      <c r="M116" s="214" t="str">
        <f>IF(B116="","",IFERROR(VLOOKUP(B116,'Bug Tracker'!$A:$L,4,FALSE),""))</f>
        <v/>
      </c>
      <c r="N116" s="101"/>
      <c r="O116" s="214" t="str">
        <f>IF(B116="","",IFERROR(VLOOKUP(B116,'Bug Tracker'!$A:$L,5,FALSE),""))</f>
        <v/>
      </c>
      <c r="P116" s="101"/>
      <c r="Q116" s="96" t="str">
        <f>IF(B116="","",IFERROR(VLOOKUP(B116,'Bug Tracker'!$A:$L,6,FALSE),""))</f>
        <v/>
      </c>
      <c r="R116" s="101"/>
      <c r="S116" s="214" t="str">
        <f>IF(B116="","",IFERROR(VLOOKUP(B116,'Bug Tracker'!$A:$L,7,FALSE),""))</f>
        <v/>
      </c>
      <c r="T116" s="102"/>
      <c r="U116" s="219" t="str">
        <f>IF(B116="","",IFERROR(VLOOKUP(B116,'Bug Tracker'!$A:$L,10,FALSE),""))</f>
        <v/>
      </c>
      <c r="V116" s="220"/>
      <c r="W116" s="73"/>
      <c r="X116" s="91"/>
      <c r="Y116" s="100"/>
    </row>
    <row r="117" spans="1:25" ht="20.100000000000001" customHeight="1" x14ac:dyDescent="0.25">
      <c r="A117" s="100"/>
      <c r="B117" s="92"/>
      <c r="C117" s="111"/>
      <c r="D117" s="216" t="str">
        <f>IF(B117="","",IFERROR(VLOOKUP(B117,'Bug Tracker'!$A:$L,2,FALSE),"Not Found"))</f>
        <v/>
      </c>
      <c r="E117" s="217"/>
      <c r="F117" s="217"/>
      <c r="G117" s="217"/>
      <c r="H117" s="217"/>
      <c r="I117" s="218"/>
      <c r="J117" s="106"/>
      <c r="K117" s="208" t="str">
        <f>IF(B117="","",IFERROR(VLOOKUP(B117,'Bug Tracker'!$A:$L,3,FALSE),""))</f>
        <v/>
      </c>
      <c r="L117" s="98"/>
      <c r="M117" s="209" t="str">
        <f>IF(B117="","",IFERROR(VLOOKUP(B117,'Bug Tracker'!$A:$L,4,FALSE),""))</f>
        <v/>
      </c>
      <c r="N117" s="98"/>
      <c r="O117" s="209" t="str">
        <f>IF(B117="","",IFERROR(VLOOKUP(B117,'Bug Tracker'!$A:$L,5,FALSE),""))</f>
        <v/>
      </c>
      <c r="P117" s="98"/>
      <c r="Q117" s="93" t="str">
        <f>IF(B117="","",IFERROR(VLOOKUP(B117,'Bug Tracker'!$A:$L,6,FALSE),""))</f>
        <v/>
      </c>
      <c r="R117" s="98"/>
      <c r="S117" s="209" t="str">
        <f>IF(B117="","",IFERROR(VLOOKUP(B117,'Bug Tracker'!$A:$L,7,FALSE),""))</f>
        <v/>
      </c>
      <c r="T117" s="99"/>
      <c r="U117" s="219" t="str">
        <f>IF(B117="","",IFERROR(VLOOKUP(B117,'Bug Tracker'!$A:$L,10,FALSE),""))</f>
        <v/>
      </c>
      <c r="V117" s="220"/>
      <c r="W117" s="73"/>
      <c r="X117" s="91"/>
      <c r="Y117" s="100"/>
    </row>
    <row r="118" spans="1:25" ht="20.100000000000001" customHeight="1" x14ac:dyDescent="0.25">
      <c r="A118" s="100"/>
      <c r="B118" s="95"/>
      <c r="C118" s="112"/>
      <c r="D118" s="221" t="str">
        <f>IF(B118="","",IFERROR(VLOOKUP(B118,'Bug Tracker'!$A:$L,2,FALSE),"Not Found"))</f>
        <v/>
      </c>
      <c r="E118" s="222"/>
      <c r="F118" s="222"/>
      <c r="G118" s="222"/>
      <c r="H118" s="222"/>
      <c r="I118" s="223"/>
      <c r="J118" s="107"/>
      <c r="K118" s="213" t="str">
        <f>IF(B118="","",IFERROR(VLOOKUP(B118,'Bug Tracker'!$A:$L,3,FALSE),""))</f>
        <v/>
      </c>
      <c r="L118" s="101"/>
      <c r="M118" s="214" t="str">
        <f>IF(B118="","",IFERROR(VLOOKUP(B118,'Bug Tracker'!$A:$L,4,FALSE),""))</f>
        <v/>
      </c>
      <c r="N118" s="101"/>
      <c r="O118" s="214" t="str">
        <f>IF(B118="","",IFERROR(VLOOKUP(B118,'Bug Tracker'!$A:$L,5,FALSE),""))</f>
        <v/>
      </c>
      <c r="P118" s="101"/>
      <c r="Q118" s="96" t="str">
        <f>IF(B118="","",IFERROR(VLOOKUP(B118,'Bug Tracker'!$A:$L,6,FALSE),""))</f>
        <v/>
      </c>
      <c r="R118" s="101"/>
      <c r="S118" s="214" t="str">
        <f>IF(B118="","",IFERROR(VLOOKUP(B118,'Bug Tracker'!$A:$L,7,FALSE),""))</f>
        <v/>
      </c>
      <c r="T118" s="102"/>
      <c r="U118" s="219" t="str">
        <f>IF(B118="","",IFERROR(VLOOKUP(B118,'Bug Tracker'!$A:$L,10,FALSE),""))</f>
        <v/>
      </c>
      <c r="V118" s="220"/>
      <c r="W118" s="73"/>
      <c r="X118" s="91"/>
      <c r="Y118" s="100"/>
    </row>
    <row r="119" spans="1:25" ht="20.100000000000001" customHeight="1" x14ac:dyDescent="0.25">
      <c r="A119" s="100"/>
      <c r="B119" s="92"/>
      <c r="C119" s="111"/>
      <c r="D119" s="216" t="str">
        <f>IF(B119="","",IFERROR(VLOOKUP(B119,'Bug Tracker'!$A:$L,2,FALSE),"Not Found"))</f>
        <v/>
      </c>
      <c r="E119" s="217"/>
      <c r="F119" s="217"/>
      <c r="G119" s="217"/>
      <c r="H119" s="217"/>
      <c r="I119" s="218"/>
      <c r="J119" s="106"/>
      <c r="K119" s="208" t="str">
        <f>IF(B119="","",IFERROR(VLOOKUP(B119,'Bug Tracker'!$A:$L,3,FALSE),""))</f>
        <v/>
      </c>
      <c r="L119" s="98"/>
      <c r="M119" s="209" t="str">
        <f>IF(B119="","",IFERROR(VLOOKUP(B119,'Bug Tracker'!$A:$L,4,FALSE),""))</f>
        <v/>
      </c>
      <c r="N119" s="98"/>
      <c r="O119" s="209" t="str">
        <f>IF(B119="","",IFERROR(VLOOKUP(B119,'Bug Tracker'!$A:$L,5,FALSE),""))</f>
        <v/>
      </c>
      <c r="P119" s="98"/>
      <c r="Q119" s="93" t="str">
        <f>IF(B119="","",IFERROR(VLOOKUP(B119,'Bug Tracker'!$A:$L,6,FALSE),""))</f>
        <v/>
      </c>
      <c r="R119" s="98"/>
      <c r="S119" s="209" t="str">
        <f>IF(B119="","",IFERROR(VLOOKUP(B119,'Bug Tracker'!$A:$L,7,FALSE),""))</f>
        <v/>
      </c>
      <c r="T119" s="99"/>
      <c r="U119" s="219" t="str">
        <f>IF(B119="","",IFERROR(VLOOKUP(B119,'Bug Tracker'!$A:$L,10,FALSE),""))</f>
        <v/>
      </c>
      <c r="V119" s="220"/>
      <c r="W119" s="73"/>
      <c r="X119" s="91"/>
      <c r="Y119" s="100"/>
    </row>
    <row r="120" spans="1:25" ht="20.100000000000001" customHeight="1" x14ac:dyDescent="0.25">
      <c r="A120" s="100"/>
      <c r="B120" s="95"/>
      <c r="C120" s="112"/>
      <c r="D120" s="221" t="str">
        <f>IF(B120="","",IFERROR(VLOOKUP(B120,'Bug Tracker'!$A:$L,2,FALSE),"Not Found"))</f>
        <v/>
      </c>
      <c r="E120" s="222"/>
      <c r="F120" s="222"/>
      <c r="G120" s="222"/>
      <c r="H120" s="222"/>
      <c r="I120" s="223"/>
      <c r="J120" s="107"/>
      <c r="K120" s="213" t="str">
        <f>IF(B120="","",IFERROR(VLOOKUP(B120,'Bug Tracker'!$A:$L,3,FALSE),""))</f>
        <v/>
      </c>
      <c r="L120" s="101"/>
      <c r="M120" s="214" t="str">
        <f>IF(B120="","",IFERROR(VLOOKUP(B120,'Bug Tracker'!$A:$L,4,FALSE),""))</f>
        <v/>
      </c>
      <c r="N120" s="101"/>
      <c r="O120" s="214" t="str">
        <f>IF(B120="","",IFERROR(VLOOKUP(B120,'Bug Tracker'!$A:$L,5,FALSE),""))</f>
        <v/>
      </c>
      <c r="P120" s="101"/>
      <c r="Q120" s="96" t="str">
        <f>IF(B120="","",IFERROR(VLOOKUP(B120,'Bug Tracker'!$A:$L,6,FALSE),""))</f>
        <v/>
      </c>
      <c r="R120" s="101"/>
      <c r="S120" s="214" t="str">
        <f>IF(B120="","",IFERROR(VLOOKUP(B120,'Bug Tracker'!$A:$L,7,FALSE),""))</f>
        <v/>
      </c>
      <c r="T120" s="102"/>
      <c r="U120" s="219" t="str">
        <f>IF(B120="","",IFERROR(VLOOKUP(B120,'Bug Tracker'!$A:$L,10,FALSE),""))</f>
        <v/>
      </c>
      <c r="V120" s="220"/>
      <c r="W120" s="73"/>
      <c r="X120" s="91"/>
      <c r="Y120" s="100"/>
    </row>
    <row r="121" spans="1:25" ht="20.100000000000001" customHeight="1" x14ac:dyDescent="0.25">
      <c r="A121" s="100"/>
      <c r="B121" s="92"/>
      <c r="C121" s="111"/>
      <c r="D121" s="216" t="str">
        <f>IF(B121="","",IFERROR(VLOOKUP(B121,'Bug Tracker'!$A:$L,2,FALSE),"Not Found"))</f>
        <v/>
      </c>
      <c r="E121" s="217"/>
      <c r="F121" s="217"/>
      <c r="G121" s="217"/>
      <c r="H121" s="217"/>
      <c r="I121" s="218"/>
      <c r="J121" s="106"/>
      <c r="K121" s="208" t="str">
        <f>IF(B121="","",IFERROR(VLOOKUP(B121,'Bug Tracker'!$A:$L,3,FALSE),""))</f>
        <v/>
      </c>
      <c r="L121" s="98"/>
      <c r="M121" s="209" t="str">
        <f>IF(B121="","",IFERROR(VLOOKUP(B121,'Bug Tracker'!$A:$L,4,FALSE),""))</f>
        <v/>
      </c>
      <c r="N121" s="98"/>
      <c r="O121" s="209" t="str">
        <f>IF(B121="","",IFERROR(VLOOKUP(B121,'Bug Tracker'!$A:$L,5,FALSE),""))</f>
        <v/>
      </c>
      <c r="P121" s="98"/>
      <c r="Q121" s="93" t="str">
        <f>IF(B121="","",IFERROR(VLOOKUP(B121,'Bug Tracker'!$A:$L,6,FALSE),""))</f>
        <v/>
      </c>
      <c r="R121" s="98"/>
      <c r="S121" s="209" t="str">
        <f>IF(B121="","",IFERROR(VLOOKUP(B121,'Bug Tracker'!$A:$L,7,FALSE),""))</f>
        <v/>
      </c>
      <c r="T121" s="99"/>
      <c r="U121" s="219" t="str">
        <f>IF(B121="","",IFERROR(VLOOKUP(B121,'Bug Tracker'!$A:$L,10,FALSE),""))</f>
        <v/>
      </c>
      <c r="V121" s="220"/>
      <c r="W121" s="73"/>
      <c r="X121" s="91"/>
      <c r="Y121" s="100"/>
    </row>
    <row r="122" spans="1:25" ht="20.100000000000001" customHeight="1" x14ac:dyDescent="0.25">
      <c r="A122" s="100"/>
      <c r="B122" s="95"/>
      <c r="C122" s="112"/>
      <c r="D122" s="221" t="str">
        <f>IF(B122="","",IFERROR(VLOOKUP(B122,'Bug Tracker'!$A:$L,2,FALSE),"Not Found"))</f>
        <v/>
      </c>
      <c r="E122" s="222"/>
      <c r="F122" s="222"/>
      <c r="G122" s="222"/>
      <c r="H122" s="222"/>
      <c r="I122" s="223"/>
      <c r="J122" s="107"/>
      <c r="K122" s="213" t="str">
        <f>IF(B122="","",IFERROR(VLOOKUP(B122,'Bug Tracker'!$A:$L,3,FALSE),""))</f>
        <v/>
      </c>
      <c r="L122" s="101"/>
      <c r="M122" s="214" t="str">
        <f>IF(B122="","",IFERROR(VLOOKUP(B122,'Bug Tracker'!$A:$L,4,FALSE),""))</f>
        <v/>
      </c>
      <c r="N122" s="101"/>
      <c r="O122" s="214" t="str">
        <f>IF(B122="","",IFERROR(VLOOKUP(B122,'Bug Tracker'!$A:$L,5,FALSE),""))</f>
        <v/>
      </c>
      <c r="P122" s="101"/>
      <c r="Q122" s="96" t="str">
        <f>IF(B122="","",IFERROR(VLOOKUP(B122,'Bug Tracker'!$A:$L,6,FALSE),""))</f>
        <v/>
      </c>
      <c r="R122" s="101"/>
      <c r="S122" s="214" t="str">
        <f>IF(B122="","",IFERROR(VLOOKUP(B122,'Bug Tracker'!$A:$L,7,FALSE),""))</f>
        <v/>
      </c>
      <c r="T122" s="102"/>
      <c r="U122" s="219" t="str">
        <f>IF(B122="","",IFERROR(VLOOKUP(B122,'Bug Tracker'!$A:$L,10,FALSE),""))</f>
        <v/>
      </c>
      <c r="V122" s="220"/>
      <c r="W122" s="73"/>
      <c r="X122" s="91"/>
      <c r="Y122" s="100"/>
    </row>
    <row r="123" spans="1:25" ht="20.100000000000001" customHeight="1" x14ac:dyDescent="0.25">
      <c r="A123" s="100"/>
      <c r="B123" s="92"/>
      <c r="C123" s="111"/>
      <c r="D123" s="216" t="str">
        <f>IF(B123="","",IFERROR(VLOOKUP(B123,'Bug Tracker'!$A:$L,2,FALSE),"Not Found"))</f>
        <v/>
      </c>
      <c r="E123" s="217"/>
      <c r="F123" s="217"/>
      <c r="G123" s="217"/>
      <c r="H123" s="217"/>
      <c r="I123" s="218"/>
      <c r="J123" s="106"/>
      <c r="K123" s="208" t="str">
        <f>IF(B123="","",IFERROR(VLOOKUP(B123,'Bug Tracker'!$A:$L,3,FALSE),""))</f>
        <v/>
      </c>
      <c r="L123" s="98"/>
      <c r="M123" s="209" t="str">
        <f>IF(B123="","",IFERROR(VLOOKUP(B123,'Bug Tracker'!$A:$L,4,FALSE),""))</f>
        <v/>
      </c>
      <c r="N123" s="98"/>
      <c r="O123" s="209" t="str">
        <f>IF(B123="","",IFERROR(VLOOKUP(B123,'Bug Tracker'!$A:$L,5,FALSE),""))</f>
        <v/>
      </c>
      <c r="P123" s="98"/>
      <c r="Q123" s="93" t="str">
        <f>IF(B123="","",IFERROR(VLOOKUP(B123,'Bug Tracker'!$A:$L,6,FALSE),""))</f>
        <v/>
      </c>
      <c r="R123" s="98"/>
      <c r="S123" s="209" t="str">
        <f>IF(B123="","",IFERROR(VLOOKUP(B123,'Bug Tracker'!$A:$L,7,FALSE),""))</f>
        <v/>
      </c>
      <c r="T123" s="99"/>
      <c r="U123" s="219" t="str">
        <f>IF(B123="","",IFERROR(VLOOKUP(B123,'Bug Tracker'!$A:$L,10,FALSE),""))</f>
        <v/>
      </c>
      <c r="V123" s="220"/>
      <c r="W123" s="73"/>
      <c r="X123" s="91"/>
      <c r="Y123" s="100"/>
    </row>
    <row r="124" spans="1:25" ht="20.100000000000001" customHeight="1" x14ac:dyDescent="0.25">
      <c r="A124" s="100"/>
      <c r="B124" s="95"/>
      <c r="C124" s="112"/>
      <c r="D124" s="221" t="str">
        <f>IF(B124="","",IFERROR(VLOOKUP(B124,'Bug Tracker'!$A:$L,2,FALSE),"Not Found"))</f>
        <v/>
      </c>
      <c r="E124" s="222"/>
      <c r="F124" s="222"/>
      <c r="G124" s="222"/>
      <c r="H124" s="222"/>
      <c r="I124" s="223"/>
      <c r="J124" s="107"/>
      <c r="K124" s="213" t="str">
        <f>IF(B124="","",IFERROR(VLOOKUP(B124,'Bug Tracker'!$A:$L,3,FALSE),""))</f>
        <v/>
      </c>
      <c r="L124" s="101"/>
      <c r="M124" s="214" t="str">
        <f>IF(B124="","",IFERROR(VLOOKUP(B124,'Bug Tracker'!$A:$L,4,FALSE),""))</f>
        <v/>
      </c>
      <c r="N124" s="101"/>
      <c r="O124" s="214" t="str">
        <f>IF(B124="","",IFERROR(VLOOKUP(B124,'Bug Tracker'!$A:$L,5,FALSE),""))</f>
        <v/>
      </c>
      <c r="P124" s="101"/>
      <c r="Q124" s="96" t="str">
        <f>IF(B124="","",IFERROR(VLOOKUP(B124,'Bug Tracker'!$A:$L,6,FALSE),""))</f>
        <v/>
      </c>
      <c r="R124" s="101"/>
      <c r="S124" s="214" t="str">
        <f>IF(B124="","",IFERROR(VLOOKUP(B124,'Bug Tracker'!$A:$L,7,FALSE),""))</f>
        <v/>
      </c>
      <c r="T124" s="102"/>
      <c r="U124" s="219" t="str">
        <f>IF(B124="","",IFERROR(VLOOKUP(B124,'Bug Tracker'!$A:$L,10,FALSE),""))</f>
        <v/>
      </c>
      <c r="V124" s="220"/>
      <c r="W124" s="73"/>
      <c r="X124" s="91"/>
      <c r="Y124" s="100"/>
    </row>
    <row r="125" spans="1:25" ht="20.100000000000001" customHeight="1" x14ac:dyDescent="0.25">
      <c r="A125" s="100"/>
      <c r="B125" s="92"/>
      <c r="C125" s="111"/>
      <c r="D125" s="216" t="str">
        <f>IF(B125="","",IFERROR(VLOOKUP(B125,'Bug Tracker'!$A:$L,2,FALSE),"Not Found"))</f>
        <v/>
      </c>
      <c r="E125" s="217"/>
      <c r="F125" s="217"/>
      <c r="G125" s="217"/>
      <c r="H125" s="217"/>
      <c r="I125" s="218"/>
      <c r="J125" s="106"/>
      <c r="K125" s="208" t="str">
        <f>IF(B125="","",IFERROR(VLOOKUP(B125,'Bug Tracker'!$A:$L,3,FALSE),""))</f>
        <v/>
      </c>
      <c r="L125" s="98"/>
      <c r="M125" s="209" t="str">
        <f>IF(B125="","",IFERROR(VLOOKUP(B125,'Bug Tracker'!$A:$L,4,FALSE),""))</f>
        <v/>
      </c>
      <c r="N125" s="98"/>
      <c r="O125" s="209" t="str">
        <f>IF(B125="","",IFERROR(VLOOKUP(B125,'Bug Tracker'!$A:$L,5,FALSE),""))</f>
        <v/>
      </c>
      <c r="P125" s="98"/>
      <c r="Q125" s="93" t="str">
        <f>IF(B125="","",IFERROR(VLOOKUP(B125,'Bug Tracker'!$A:$L,6,FALSE),""))</f>
        <v/>
      </c>
      <c r="R125" s="98"/>
      <c r="S125" s="209" t="str">
        <f>IF(B125="","",IFERROR(VLOOKUP(B125,'Bug Tracker'!$A:$L,7,FALSE),""))</f>
        <v/>
      </c>
      <c r="T125" s="99"/>
      <c r="U125" s="219" t="str">
        <f>IF(B125="","",IFERROR(VLOOKUP(B125,'Bug Tracker'!$A:$L,10,FALSE),""))</f>
        <v/>
      </c>
      <c r="V125" s="220"/>
      <c r="W125" s="73"/>
      <c r="X125" s="91"/>
      <c r="Y125" s="100"/>
    </row>
    <row r="126" spans="1:25" ht="20.100000000000001" customHeight="1" x14ac:dyDescent="0.25">
      <c r="A126" s="100"/>
      <c r="B126" s="95"/>
      <c r="C126" s="112"/>
      <c r="D126" s="221" t="str">
        <f>IF(B126="","",IFERROR(VLOOKUP(B126,'Bug Tracker'!$A:$L,2,FALSE),"Not Found"))</f>
        <v/>
      </c>
      <c r="E126" s="222"/>
      <c r="F126" s="222"/>
      <c r="G126" s="222"/>
      <c r="H126" s="222"/>
      <c r="I126" s="223"/>
      <c r="J126" s="107"/>
      <c r="K126" s="213" t="str">
        <f>IF(B126="","",IFERROR(VLOOKUP(B126,'Bug Tracker'!$A:$L,3,FALSE),""))</f>
        <v/>
      </c>
      <c r="L126" s="101"/>
      <c r="M126" s="214" t="str">
        <f>IF(B126="","",IFERROR(VLOOKUP(B126,'Bug Tracker'!$A:$L,4,FALSE),""))</f>
        <v/>
      </c>
      <c r="N126" s="101"/>
      <c r="O126" s="214" t="str">
        <f>IF(B126="","",IFERROR(VLOOKUP(B126,'Bug Tracker'!$A:$L,5,FALSE),""))</f>
        <v/>
      </c>
      <c r="P126" s="101"/>
      <c r="Q126" s="96" t="str">
        <f>IF(B126="","",IFERROR(VLOOKUP(B126,'Bug Tracker'!$A:$L,6,FALSE),""))</f>
        <v/>
      </c>
      <c r="R126" s="101"/>
      <c r="S126" s="214" t="str">
        <f>IF(B126="","",IFERROR(VLOOKUP(B126,'Bug Tracker'!$A:$L,7,FALSE),""))</f>
        <v/>
      </c>
      <c r="T126" s="102"/>
      <c r="U126" s="219" t="str">
        <f>IF(B126="","",IFERROR(VLOOKUP(B126,'Bug Tracker'!$A:$L,10,FALSE),""))</f>
        <v/>
      </c>
      <c r="V126" s="220"/>
      <c r="W126" s="73"/>
      <c r="X126" s="91"/>
      <c r="Y126" s="100"/>
    </row>
    <row r="127" spans="1:25" ht="20.100000000000001" customHeight="1" x14ac:dyDescent="0.25">
      <c r="A127" s="100"/>
      <c r="B127" s="92"/>
      <c r="C127" s="111"/>
      <c r="D127" s="216" t="str">
        <f>IF(B127="","",IFERROR(VLOOKUP(B127,'Bug Tracker'!$A:$L,2,FALSE),"Not Found"))</f>
        <v/>
      </c>
      <c r="E127" s="217"/>
      <c r="F127" s="217"/>
      <c r="G127" s="217"/>
      <c r="H127" s="217"/>
      <c r="I127" s="218"/>
      <c r="J127" s="106"/>
      <c r="K127" s="208" t="str">
        <f>IF(B127="","",IFERROR(VLOOKUP(B127,'Bug Tracker'!$A:$L,3,FALSE),""))</f>
        <v/>
      </c>
      <c r="L127" s="98"/>
      <c r="M127" s="209" t="str">
        <f>IF(B127="","",IFERROR(VLOOKUP(B127,'Bug Tracker'!$A:$L,4,FALSE),""))</f>
        <v/>
      </c>
      <c r="N127" s="98"/>
      <c r="O127" s="209" t="str">
        <f>IF(B127="","",IFERROR(VLOOKUP(B127,'Bug Tracker'!$A:$L,5,FALSE),""))</f>
        <v/>
      </c>
      <c r="P127" s="98"/>
      <c r="Q127" s="93" t="str">
        <f>IF(B127="","",IFERROR(VLOOKUP(B127,'Bug Tracker'!$A:$L,6,FALSE),""))</f>
        <v/>
      </c>
      <c r="R127" s="98"/>
      <c r="S127" s="209" t="str">
        <f>IF(B127="","",IFERROR(VLOOKUP(B127,'Bug Tracker'!$A:$L,7,FALSE),""))</f>
        <v/>
      </c>
      <c r="T127" s="99"/>
      <c r="U127" s="219" t="str">
        <f>IF(B127="","",IFERROR(VLOOKUP(B127,'Bug Tracker'!$A:$L,10,FALSE),""))</f>
        <v/>
      </c>
      <c r="V127" s="220"/>
      <c r="W127" s="73"/>
      <c r="X127" s="91"/>
      <c r="Y127" s="100"/>
    </row>
    <row r="128" spans="1:25" ht="20.100000000000001" customHeight="1" x14ac:dyDescent="0.25">
      <c r="A128" s="100"/>
      <c r="B128" s="95"/>
      <c r="C128" s="112"/>
      <c r="D128" s="221" t="str">
        <f>IF(B128="","",IFERROR(VLOOKUP(B128,'Bug Tracker'!$A:$L,2,FALSE),"Not Found"))</f>
        <v/>
      </c>
      <c r="E128" s="222"/>
      <c r="F128" s="222"/>
      <c r="G128" s="222"/>
      <c r="H128" s="222"/>
      <c r="I128" s="223"/>
      <c r="J128" s="107"/>
      <c r="K128" s="213" t="str">
        <f>IF(B128="","",IFERROR(VLOOKUP(B128,'Bug Tracker'!$A:$L,3,FALSE),""))</f>
        <v/>
      </c>
      <c r="L128" s="101"/>
      <c r="M128" s="214" t="str">
        <f>IF(B128="","",IFERROR(VLOOKUP(B128,'Bug Tracker'!$A:$L,4,FALSE),""))</f>
        <v/>
      </c>
      <c r="N128" s="101"/>
      <c r="O128" s="214" t="str">
        <f>IF(B128="","",IFERROR(VLOOKUP(B128,'Bug Tracker'!$A:$L,5,FALSE),""))</f>
        <v/>
      </c>
      <c r="P128" s="101"/>
      <c r="Q128" s="96" t="str">
        <f>IF(B128="","",IFERROR(VLOOKUP(B128,'Bug Tracker'!$A:$L,6,FALSE),""))</f>
        <v/>
      </c>
      <c r="R128" s="101"/>
      <c r="S128" s="214" t="str">
        <f>IF(B128="","",IFERROR(VLOOKUP(B128,'Bug Tracker'!$A:$L,7,FALSE),""))</f>
        <v/>
      </c>
      <c r="T128" s="102"/>
      <c r="U128" s="219" t="str">
        <f>IF(B128="","",IFERROR(VLOOKUP(B128,'Bug Tracker'!$A:$L,10,FALSE),""))</f>
        <v/>
      </c>
      <c r="V128" s="220"/>
      <c r="W128" s="73"/>
      <c r="X128" s="91"/>
      <c r="Y128" s="100"/>
    </row>
    <row r="129" spans="1:25" ht="20.100000000000001" customHeight="1" x14ac:dyDescent="0.25">
      <c r="A129" s="100"/>
      <c r="B129" s="92"/>
      <c r="C129" s="111"/>
      <c r="D129" s="216" t="str">
        <f>IF(B129="","",IFERROR(VLOOKUP(B129,'Bug Tracker'!$A:$L,2,FALSE),"Not Found"))</f>
        <v/>
      </c>
      <c r="E129" s="217"/>
      <c r="F129" s="217"/>
      <c r="G129" s="217"/>
      <c r="H129" s="217"/>
      <c r="I129" s="218"/>
      <c r="J129" s="106"/>
      <c r="K129" s="208" t="str">
        <f>IF(B129="","",IFERROR(VLOOKUP(B129,'Bug Tracker'!$A:$L,3,FALSE),""))</f>
        <v/>
      </c>
      <c r="L129" s="98"/>
      <c r="M129" s="209" t="str">
        <f>IF(B129="","",IFERROR(VLOOKUP(B129,'Bug Tracker'!$A:$L,4,FALSE),""))</f>
        <v/>
      </c>
      <c r="N129" s="98"/>
      <c r="O129" s="209" t="str">
        <f>IF(B129="","",IFERROR(VLOOKUP(B129,'Bug Tracker'!$A:$L,5,FALSE),""))</f>
        <v/>
      </c>
      <c r="P129" s="98"/>
      <c r="Q129" s="93" t="str">
        <f>IF(B129="","",IFERROR(VLOOKUP(B129,'Bug Tracker'!$A:$L,6,FALSE),""))</f>
        <v/>
      </c>
      <c r="R129" s="98"/>
      <c r="S129" s="209" t="str">
        <f>IF(B129="","",IFERROR(VLOOKUP(B129,'Bug Tracker'!$A:$L,7,FALSE),""))</f>
        <v/>
      </c>
      <c r="T129" s="99"/>
      <c r="U129" s="219" t="str">
        <f>IF(B129="","",IFERROR(VLOOKUP(B129,'Bug Tracker'!$A:$L,10,FALSE),""))</f>
        <v/>
      </c>
      <c r="V129" s="220"/>
      <c r="W129" s="73"/>
      <c r="X129" s="91"/>
      <c r="Y129" s="100"/>
    </row>
    <row r="130" spans="1:25" ht="20.100000000000001" customHeight="1" x14ac:dyDescent="0.25">
      <c r="A130" s="100"/>
      <c r="B130" s="95"/>
      <c r="C130" s="112"/>
      <c r="D130" s="221" t="str">
        <f>IF(B130="","",IFERROR(VLOOKUP(B130,'Bug Tracker'!$A:$L,2,FALSE),"Not Found"))</f>
        <v/>
      </c>
      <c r="E130" s="222"/>
      <c r="F130" s="222"/>
      <c r="G130" s="222"/>
      <c r="H130" s="222"/>
      <c r="I130" s="223"/>
      <c r="J130" s="107"/>
      <c r="K130" s="213" t="str">
        <f>IF(B130="","",IFERROR(VLOOKUP(B130,'Bug Tracker'!$A:$L,3,FALSE),""))</f>
        <v/>
      </c>
      <c r="L130" s="101"/>
      <c r="M130" s="214" t="str">
        <f>IF(B130="","",IFERROR(VLOOKUP(B130,'Bug Tracker'!$A:$L,4,FALSE),""))</f>
        <v/>
      </c>
      <c r="N130" s="101"/>
      <c r="O130" s="214" t="str">
        <f>IF(B130="","",IFERROR(VLOOKUP(B130,'Bug Tracker'!$A:$L,5,FALSE),""))</f>
        <v/>
      </c>
      <c r="P130" s="101"/>
      <c r="Q130" s="96" t="str">
        <f>IF(B130="","",IFERROR(VLOOKUP(B130,'Bug Tracker'!$A:$L,6,FALSE),""))</f>
        <v/>
      </c>
      <c r="R130" s="101"/>
      <c r="S130" s="214" t="str">
        <f>IF(B130="","",IFERROR(VLOOKUP(B130,'Bug Tracker'!$A:$L,7,FALSE),""))</f>
        <v/>
      </c>
      <c r="T130" s="102"/>
      <c r="U130" s="219" t="str">
        <f>IF(B130="","",IFERROR(VLOOKUP(B130,'Bug Tracker'!$A:$L,10,FALSE),""))</f>
        <v/>
      </c>
      <c r="V130" s="220"/>
      <c r="W130" s="73"/>
      <c r="X130" s="91"/>
      <c r="Y130" s="100"/>
    </row>
    <row r="131" spans="1:25" ht="20.100000000000001" customHeight="1" x14ac:dyDescent="0.25">
      <c r="A131" s="100"/>
      <c r="B131" s="92"/>
      <c r="C131" s="111"/>
      <c r="D131" s="216" t="str">
        <f>IF(B131="","",IFERROR(VLOOKUP(B131,'Bug Tracker'!$A:$L,2,FALSE),"Not Found"))</f>
        <v/>
      </c>
      <c r="E131" s="217"/>
      <c r="F131" s="217"/>
      <c r="G131" s="217"/>
      <c r="H131" s="217"/>
      <c r="I131" s="218"/>
      <c r="J131" s="106"/>
      <c r="K131" s="208" t="str">
        <f>IF(B131="","",IFERROR(VLOOKUP(B131,'Bug Tracker'!$A:$L,3,FALSE),""))</f>
        <v/>
      </c>
      <c r="L131" s="98"/>
      <c r="M131" s="209" t="str">
        <f>IF(B131="","",IFERROR(VLOOKUP(B131,'Bug Tracker'!$A:$L,4,FALSE),""))</f>
        <v/>
      </c>
      <c r="N131" s="98"/>
      <c r="O131" s="209" t="str">
        <f>IF(B131="","",IFERROR(VLOOKUP(B131,'Bug Tracker'!$A:$L,5,FALSE),""))</f>
        <v/>
      </c>
      <c r="P131" s="98"/>
      <c r="Q131" s="93" t="str">
        <f>IF(B131="","",IFERROR(VLOOKUP(B131,'Bug Tracker'!$A:$L,6,FALSE),""))</f>
        <v/>
      </c>
      <c r="R131" s="98"/>
      <c r="S131" s="209" t="str">
        <f>IF(B131="","",IFERROR(VLOOKUP(B131,'Bug Tracker'!$A:$L,7,FALSE),""))</f>
        <v/>
      </c>
      <c r="T131" s="99"/>
      <c r="U131" s="219" t="str">
        <f>IF(B131="","",IFERROR(VLOOKUP(B131,'Bug Tracker'!$A:$L,10,FALSE),""))</f>
        <v/>
      </c>
      <c r="V131" s="220"/>
      <c r="W131" s="73"/>
      <c r="X131" s="91"/>
      <c r="Y131" s="100"/>
    </row>
    <row r="132" spans="1:25" ht="20.100000000000001" customHeight="1" x14ac:dyDescent="0.25">
      <c r="A132" s="100"/>
      <c r="B132" s="95"/>
      <c r="C132" s="112"/>
      <c r="D132" s="221" t="str">
        <f>IF(B132="","",IFERROR(VLOOKUP(B132,'Bug Tracker'!$A:$L,2,FALSE),"Not Found"))</f>
        <v/>
      </c>
      <c r="E132" s="222"/>
      <c r="F132" s="222"/>
      <c r="G132" s="222"/>
      <c r="H132" s="222"/>
      <c r="I132" s="223"/>
      <c r="J132" s="107"/>
      <c r="K132" s="213" t="str">
        <f>IF(B132="","",IFERROR(VLOOKUP(B132,'Bug Tracker'!$A:$L,3,FALSE),""))</f>
        <v/>
      </c>
      <c r="L132" s="101"/>
      <c r="M132" s="214" t="str">
        <f>IF(B132="","",IFERROR(VLOOKUP(B132,'Bug Tracker'!$A:$L,4,FALSE),""))</f>
        <v/>
      </c>
      <c r="N132" s="101"/>
      <c r="O132" s="214" t="str">
        <f>IF(B132="","",IFERROR(VLOOKUP(B132,'Bug Tracker'!$A:$L,5,FALSE),""))</f>
        <v/>
      </c>
      <c r="P132" s="101"/>
      <c r="Q132" s="96" t="str">
        <f>IF(B132="","",IFERROR(VLOOKUP(B132,'Bug Tracker'!$A:$L,6,FALSE),""))</f>
        <v/>
      </c>
      <c r="R132" s="101"/>
      <c r="S132" s="214" t="str">
        <f>IF(B132="","",IFERROR(VLOOKUP(B132,'Bug Tracker'!$A:$L,7,FALSE),""))</f>
        <v/>
      </c>
      <c r="T132" s="102"/>
      <c r="U132" s="219" t="str">
        <f>IF(B132="","",IFERROR(VLOOKUP(B132,'Bug Tracker'!$A:$L,10,FALSE),""))</f>
        <v/>
      </c>
      <c r="V132" s="220"/>
      <c r="W132" s="73"/>
      <c r="X132" s="91"/>
      <c r="Y132" s="100"/>
    </row>
    <row r="133" spans="1:25" ht="20.100000000000001" customHeight="1" x14ac:dyDescent="0.25">
      <c r="A133" s="100"/>
      <c r="B133" s="92"/>
      <c r="C133" s="111"/>
      <c r="D133" s="216" t="str">
        <f>IF(B133="","",IFERROR(VLOOKUP(B133,'Bug Tracker'!$A:$L,2,FALSE),"Not Found"))</f>
        <v/>
      </c>
      <c r="E133" s="217"/>
      <c r="F133" s="217"/>
      <c r="G133" s="217"/>
      <c r="H133" s="217"/>
      <c r="I133" s="218"/>
      <c r="J133" s="106"/>
      <c r="K133" s="208" t="str">
        <f>IF(B133="","",IFERROR(VLOOKUP(B133,'Bug Tracker'!$A:$L,3,FALSE),""))</f>
        <v/>
      </c>
      <c r="L133" s="98"/>
      <c r="M133" s="209" t="str">
        <f>IF(B133="","",IFERROR(VLOOKUP(B133,'Bug Tracker'!$A:$L,4,FALSE),""))</f>
        <v/>
      </c>
      <c r="N133" s="98"/>
      <c r="O133" s="209" t="str">
        <f>IF(B133="","",IFERROR(VLOOKUP(B133,'Bug Tracker'!$A:$L,5,FALSE),""))</f>
        <v/>
      </c>
      <c r="P133" s="98"/>
      <c r="Q133" s="93" t="str">
        <f>IF(B133="","",IFERROR(VLOOKUP(B133,'Bug Tracker'!$A:$L,6,FALSE),""))</f>
        <v/>
      </c>
      <c r="R133" s="98"/>
      <c r="S133" s="209" t="str">
        <f>IF(B133="","",IFERROR(VLOOKUP(B133,'Bug Tracker'!$A:$L,7,FALSE),""))</f>
        <v/>
      </c>
      <c r="T133" s="99"/>
      <c r="U133" s="219" t="str">
        <f>IF(B133="","",IFERROR(VLOOKUP(B133,'Bug Tracker'!$A:$L,10,FALSE),""))</f>
        <v/>
      </c>
      <c r="V133" s="220"/>
      <c r="W133" s="73"/>
      <c r="X133" s="91"/>
      <c r="Y133" s="100"/>
    </row>
    <row r="134" spans="1:25" ht="20.100000000000001" customHeight="1" x14ac:dyDescent="0.25">
      <c r="A134" s="100"/>
      <c r="B134" s="95"/>
      <c r="C134" s="112"/>
      <c r="D134" s="221" t="str">
        <f>IF(B134="","",IFERROR(VLOOKUP(B134,'Bug Tracker'!$A:$L,2,FALSE),"Not Found"))</f>
        <v/>
      </c>
      <c r="E134" s="222"/>
      <c r="F134" s="222"/>
      <c r="G134" s="222"/>
      <c r="H134" s="222"/>
      <c r="I134" s="223"/>
      <c r="J134" s="107"/>
      <c r="K134" s="213" t="str">
        <f>IF(B134="","",IFERROR(VLOOKUP(B134,'Bug Tracker'!$A:$L,3,FALSE),""))</f>
        <v/>
      </c>
      <c r="L134" s="101"/>
      <c r="M134" s="214" t="str">
        <f>IF(B134="","",IFERROR(VLOOKUP(B134,'Bug Tracker'!$A:$L,4,FALSE),""))</f>
        <v/>
      </c>
      <c r="N134" s="101"/>
      <c r="O134" s="214" t="str">
        <f>IF(B134="","",IFERROR(VLOOKUP(B134,'Bug Tracker'!$A:$L,5,FALSE),""))</f>
        <v/>
      </c>
      <c r="P134" s="101"/>
      <c r="Q134" s="96" t="str">
        <f>IF(B134="","",IFERROR(VLOOKUP(B134,'Bug Tracker'!$A:$L,6,FALSE),""))</f>
        <v/>
      </c>
      <c r="R134" s="101"/>
      <c r="S134" s="214" t="str">
        <f>IF(B134="","",IFERROR(VLOOKUP(B134,'Bug Tracker'!$A:$L,7,FALSE),""))</f>
        <v/>
      </c>
      <c r="T134" s="102"/>
      <c r="U134" s="219" t="str">
        <f>IF(B134="","",IFERROR(VLOOKUP(B134,'Bug Tracker'!$A:$L,10,FALSE),""))</f>
        <v/>
      </c>
      <c r="V134" s="220"/>
      <c r="W134" s="73"/>
      <c r="X134" s="91"/>
      <c r="Y134" s="100"/>
    </row>
    <row r="135" spans="1:25" ht="20.100000000000001" customHeight="1" x14ac:dyDescent="0.25">
      <c r="A135" s="100"/>
      <c r="B135" s="92"/>
      <c r="C135" s="111"/>
      <c r="D135" s="216" t="str">
        <f>IF(B135="","",IFERROR(VLOOKUP(B135,'Bug Tracker'!$A:$L,2,FALSE),"Not Found"))</f>
        <v/>
      </c>
      <c r="E135" s="217"/>
      <c r="F135" s="217"/>
      <c r="G135" s="217"/>
      <c r="H135" s="217"/>
      <c r="I135" s="218"/>
      <c r="J135" s="106"/>
      <c r="K135" s="208" t="str">
        <f>IF(B135="","",IFERROR(VLOOKUP(B135,'Bug Tracker'!$A:$L,3,FALSE),""))</f>
        <v/>
      </c>
      <c r="L135" s="98"/>
      <c r="M135" s="209" t="str">
        <f>IF(B135="","",IFERROR(VLOOKUP(B135,'Bug Tracker'!$A:$L,4,FALSE),""))</f>
        <v/>
      </c>
      <c r="N135" s="98"/>
      <c r="O135" s="209" t="str">
        <f>IF(B135="","",IFERROR(VLOOKUP(B135,'Bug Tracker'!$A:$L,5,FALSE),""))</f>
        <v/>
      </c>
      <c r="P135" s="98"/>
      <c r="Q135" s="93" t="str">
        <f>IF(B135="","",IFERROR(VLOOKUP(B135,'Bug Tracker'!$A:$L,6,FALSE),""))</f>
        <v/>
      </c>
      <c r="R135" s="98"/>
      <c r="S135" s="209" t="str">
        <f>IF(B135="","",IFERROR(VLOOKUP(B135,'Bug Tracker'!$A:$L,7,FALSE),""))</f>
        <v/>
      </c>
      <c r="T135" s="99"/>
      <c r="U135" s="219" t="str">
        <f>IF(B135="","",IFERROR(VLOOKUP(B135,'Bug Tracker'!$A:$L,10,FALSE),""))</f>
        <v/>
      </c>
      <c r="V135" s="220"/>
      <c r="W135" s="73"/>
      <c r="X135" s="91"/>
      <c r="Y135" s="100"/>
    </row>
    <row r="136" spans="1:25" ht="20.100000000000001" customHeight="1" x14ac:dyDescent="0.25">
      <c r="A136" s="100"/>
      <c r="B136" s="95"/>
      <c r="C136" s="112"/>
      <c r="D136" s="221" t="str">
        <f>IF(B136="","",IFERROR(VLOOKUP(B136,'Bug Tracker'!$A:$L,2,FALSE),"Not Found"))</f>
        <v/>
      </c>
      <c r="E136" s="222"/>
      <c r="F136" s="222"/>
      <c r="G136" s="222"/>
      <c r="H136" s="222"/>
      <c r="I136" s="223"/>
      <c r="J136" s="107"/>
      <c r="K136" s="213" t="str">
        <f>IF(B136="","",IFERROR(VLOOKUP(B136,'Bug Tracker'!$A:$L,3,FALSE),""))</f>
        <v/>
      </c>
      <c r="L136" s="101"/>
      <c r="M136" s="214" t="str">
        <f>IF(B136="","",IFERROR(VLOOKUP(B136,'Bug Tracker'!$A:$L,4,FALSE),""))</f>
        <v/>
      </c>
      <c r="N136" s="101"/>
      <c r="O136" s="214" t="str">
        <f>IF(B136="","",IFERROR(VLOOKUP(B136,'Bug Tracker'!$A:$L,5,FALSE),""))</f>
        <v/>
      </c>
      <c r="P136" s="101"/>
      <c r="Q136" s="96" t="str">
        <f>IF(B136="","",IFERROR(VLOOKUP(B136,'Bug Tracker'!$A:$L,6,FALSE),""))</f>
        <v/>
      </c>
      <c r="R136" s="101"/>
      <c r="S136" s="214" t="str">
        <f>IF(B136="","",IFERROR(VLOOKUP(B136,'Bug Tracker'!$A:$L,7,FALSE),""))</f>
        <v/>
      </c>
      <c r="T136" s="102"/>
      <c r="U136" s="219" t="str">
        <f>IF(B136="","",IFERROR(VLOOKUP(B136,'Bug Tracker'!$A:$L,10,FALSE),""))</f>
        <v/>
      </c>
      <c r="V136" s="220"/>
      <c r="W136" s="73"/>
      <c r="X136" s="91"/>
      <c r="Y136" s="100"/>
    </row>
    <row r="137" spans="1:25" ht="20.100000000000001" customHeight="1" x14ac:dyDescent="0.25">
      <c r="A137" s="100"/>
      <c r="B137" s="92"/>
      <c r="C137" s="111"/>
      <c r="D137" s="216" t="str">
        <f>IF(B137="","",IFERROR(VLOOKUP(B137,'Bug Tracker'!$A:$L,2,FALSE),"Not Found"))</f>
        <v/>
      </c>
      <c r="E137" s="217"/>
      <c r="F137" s="217"/>
      <c r="G137" s="217"/>
      <c r="H137" s="217"/>
      <c r="I137" s="218"/>
      <c r="J137" s="106"/>
      <c r="K137" s="208" t="str">
        <f>IF(B137="","",IFERROR(VLOOKUP(B137,'Bug Tracker'!$A:$L,3,FALSE),""))</f>
        <v/>
      </c>
      <c r="L137" s="98"/>
      <c r="M137" s="209" t="str">
        <f>IF(B137="","",IFERROR(VLOOKUP(B137,'Bug Tracker'!$A:$L,4,FALSE),""))</f>
        <v/>
      </c>
      <c r="N137" s="98"/>
      <c r="O137" s="209" t="str">
        <f>IF(B137="","",IFERROR(VLOOKUP(B137,'Bug Tracker'!$A:$L,5,FALSE),""))</f>
        <v/>
      </c>
      <c r="P137" s="98"/>
      <c r="Q137" s="93" t="str">
        <f>IF(B137="","",IFERROR(VLOOKUP(B137,'Bug Tracker'!$A:$L,6,FALSE),""))</f>
        <v/>
      </c>
      <c r="R137" s="98"/>
      <c r="S137" s="209" t="str">
        <f>IF(B137="","",IFERROR(VLOOKUP(B137,'Bug Tracker'!$A:$L,7,FALSE),""))</f>
        <v/>
      </c>
      <c r="T137" s="99"/>
      <c r="U137" s="219" t="str">
        <f>IF(B137="","",IFERROR(VLOOKUP(B137,'Bug Tracker'!$A:$L,10,FALSE),""))</f>
        <v/>
      </c>
      <c r="V137" s="220"/>
      <c r="W137" s="73"/>
      <c r="X137" s="91"/>
      <c r="Y137" s="100"/>
    </row>
    <row r="138" spans="1:25" ht="20.100000000000001" customHeight="1" x14ac:dyDescent="0.25">
      <c r="A138" s="100"/>
      <c r="B138" s="95"/>
      <c r="C138" s="112"/>
      <c r="D138" s="221" t="str">
        <f>IF(B138="","",IFERROR(VLOOKUP(B138,'Bug Tracker'!$A:$L,2,FALSE),"Not Found"))</f>
        <v/>
      </c>
      <c r="E138" s="222"/>
      <c r="F138" s="222"/>
      <c r="G138" s="222"/>
      <c r="H138" s="222"/>
      <c r="I138" s="223"/>
      <c r="J138" s="107"/>
      <c r="K138" s="213" t="str">
        <f>IF(B138="","",IFERROR(VLOOKUP(B138,'Bug Tracker'!$A:$L,3,FALSE),""))</f>
        <v/>
      </c>
      <c r="L138" s="101"/>
      <c r="M138" s="214" t="str">
        <f>IF(B138="","",IFERROR(VLOOKUP(B138,'Bug Tracker'!$A:$L,4,FALSE),""))</f>
        <v/>
      </c>
      <c r="N138" s="101"/>
      <c r="O138" s="214" t="str">
        <f>IF(B138="","",IFERROR(VLOOKUP(B138,'Bug Tracker'!$A:$L,5,FALSE),""))</f>
        <v/>
      </c>
      <c r="P138" s="101"/>
      <c r="Q138" s="96" t="str">
        <f>IF(B138="","",IFERROR(VLOOKUP(B138,'Bug Tracker'!$A:$L,6,FALSE),""))</f>
        <v/>
      </c>
      <c r="R138" s="101"/>
      <c r="S138" s="214" t="str">
        <f>IF(B138="","",IFERROR(VLOOKUP(B138,'Bug Tracker'!$A:$L,7,FALSE),""))</f>
        <v/>
      </c>
      <c r="T138" s="102"/>
      <c r="U138" s="219" t="str">
        <f>IF(B138="","",IFERROR(VLOOKUP(B138,'Bug Tracker'!$A:$L,10,FALSE),""))</f>
        <v/>
      </c>
      <c r="V138" s="220"/>
      <c r="W138" s="73"/>
      <c r="X138" s="91"/>
      <c r="Y138" s="100"/>
    </row>
    <row r="139" spans="1:25" ht="20.100000000000001" customHeight="1" x14ac:dyDescent="0.25">
      <c r="A139" s="100"/>
      <c r="B139" s="92"/>
      <c r="C139" s="111"/>
      <c r="D139" s="216" t="str">
        <f>IF(B139="","",IFERROR(VLOOKUP(B139,'Bug Tracker'!$A:$L,2,FALSE),"Not Found"))</f>
        <v/>
      </c>
      <c r="E139" s="217"/>
      <c r="F139" s="217"/>
      <c r="G139" s="217"/>
      <c r="H139" s="217"/>
      <c r="I139" s="218"/>
      <c r="J139" s="106"/>
      <c r="K139" s="208" t="str">
        <f>IF(B139="","",IFERROR(VLOOKUP(B139,'Bug Tracker'!$A:$L,3,FALSE),""))</f>
        <v/>
      </c>
      <c r="L139" s="98"/>
      <c r="M139" s="209" t="str">
        <f>IF(B139="","",IFERROR(VLOOKUP(B139,'Bug Tracker'!$A:$L,4,FALSE),""))</f>
        <v/>
      </c>
      <c r="N139" s="98"/>
      <c r="O139" s="209" t="str">
        <f>IF(B139="","",IFERROR(VLOOKUP(B139,'Bug Tracker'!$A:$L,5,FALSE),""))</f>
        <v/>
      </c>
      <c r="P139" s="98"/>
      <c r="Q139" s="93" t="str">
        <f>IF(B139="","",IFERROR(VLOOKUP(B139,'Bug Tracker'!$A:$L,6,FALSE),""))</f>
        <v/>
      </c>
      <c r="R139" s="98"/>
      <c r="S139" s="209" t="str">
        <f>IF(B139="","",IFERROR(VLOOKUP(B139,'Bug Tracker'!$A:$L,7,FALSE),""))</f>
        <v/>
      </c>
      <c r="T139" s="99"/>
      <c r="U139" s="219" t="str">
        <f>IF(B139="","",IFERROR(VLOOKUP(B139,'Bug Tracker'!$A:$L,10,FALSE),""))</f>
        <v/>
      </c>
      <c r="V139" s="220"/>
      <c r="W139" s="73"/>
      <c r="X139" s="91"/>
      <c r="Y139" s="100"/>
    </row>
    <row r="140" spans="1:25" ht="20.100000000000001" customHeight="1" x14ac:dyDescent="0.25">
      <c r="A140" s="100"/>
      <c r="B140" s="95"/>
      <c r="C140" s="112"/>
      <c r="D140" s="221" t="str">
        <f>IF(B140="","",IFERROR(VLOOKUP(B140,'Bug Tracker'!$A:$L,2,FALSE),"Not Found"))</f>
        <v/>
      </c>
      <c r="E140" s="222"/>
      <c r="F140" s="222"/>
      <c r="G140" s="222"/>
      <c r="H140" s="222"/>
      <c r="I140" s="223"/>
      <c r="J140" s="107"/>
      <c r="K140" s="213" t="str">
        <f>IF(B140="","",IFERROR(VLOOKUP(B140,'Bug Tracker'!$A:$L,3,FALSE),""))</f>
        <v/>
      </c>
      <c r="L140" s="101"/>
      <c r="M140" s="214" t="str">
        <f>IF(B140="","",IFERROR(VLOOKUP(B140,'Bug Tracker'!$A:$L,4,FALSE),""))</f>
        <v/>
      </c>
      <c r="N140" s="101"/>
      <c r="O140" s="214" t="str">
        <f>IF(B140="","",IFERROR(VLOOKUP(B140,'Bug Tracker'!$A:$L,5,FALSE),""))</f>
        <v/>
      </c>
      <c r="P140" s="101"/>
      <c r="Q140" s="96" t="str">
        <f>IF(B140="","",IFERROR(VLOOKUP(B140,'Bug Tracker'!$A:$L,6,FALSE),""))</f>
        <v/>
      </c>
      <c r="R140" s="101"/>
      <c r="S140" s="214" t="str">
        <f>IF(B140="","",IFERROR(VLOOKUP(B140,'Bug Tracker'!$A:$L,7,FALSE),""))</f>
        <v/>
      </c>
      <c r="T140" s="102"/>
      <c r="U140" s="219" t="str">
        <f>IF(B140="","",IFERROR(VLOOKUP(B140,'Bug Tracker'!$A:$L,10,FALSE),""))</f>
        <v/>
      </c>
      <c r="V140" s="220"/>
      <c r="W140" s="73"/>
      <c r="X140" s="91"/>
      <c r="Y140" s="100"/>
    </row>
    <row r="141" spans="1:25" ht="20.100000000000001" customHeight="1" x14ac:dyDescent="0.25">
      <c r="A141" s="100"/>
      <c r="B141" s="92"/>
      <c r="C141" s="111"/>
      <c r="D141" s="216" t="str">
        <f>IF(B141="","",IFERROR(VLOOKUP(B141,'Bug Tracker'!$A:$L,2,FALSE),"Not Found"))</f>
        <v/>
      </c>
      <c r="E141" s="217"/>
      <c r="F141" s="217"/>
      <c r="G141" s="217"/>
      <c r="H141" s="217"/>
      <c r="I141" s="218"/>
      <c r="J141" s="106"/>
      <c r="K141" s="208" t="str">
        <f>IF(B141="","",IFERROR(VLOOKUP(B141,'Bug Tracker'!$A:$L,3,FALSE),""))</f>
        <v/>
      </c>
      <c r="L141" s="98"/>
      <c r="M141" s="209" t="str">
        <f>IF(B141="","",IFERROR(VLOOKUP(B141,'Bug Tracker'!$A:$L,4,FALSE),""))</f>
        <v/>
      </c>
      <c r="N141" s="98"/>
      <c r="O141" s="209" t="str">
        <f>IF(B141="","",IFERROR(VLOOKUP(B141,'Bug Tracker'!$A:$L,5,FALSE),""))</f>
        <v/>
      </c>
      <c r="P141" s="98"/>
      <c r="Q141" s="93" t="str">
        <f>IF(B141="","",IFERROR(VLOOKUP(B141,'Bug Tracker'!$A:$L,6,FALSE),""))</f>
        <v/>
      </c>
      <c r="R141" s="98"/>
      <c r="S141" s="209" t="str">
        <f>IF(B141="","",IFERROR(VLOOKUP(B141,'Bug Tracker'!$A:$L,7,FALSE),""))</f>
        <v/>
      </c>
      <c r="T141" s="99"/>
      <c r="U141" s="219" t="str">
        <f>IF(B141="","",IFERROR(VLOOKUP(B141,'Bug Tracker'!$A:$L,10,FALSE),""))</f>
        <v/>
      </c>
      <c r="V141" s="220"/>
      <c r="W141" s="73"/>
      <c r="X141" s="91"/>
      <c r="Y141" s="100"/>
    </row>
    <row r="142" spans="1:25" ht="20.100000000000001" customHeight="1" x14ac:dyDescent="0.25">
      <c r="A142" s="100"/>
      <c r="B142" s="95"/>
      <c r="C142" s="112"/>
      <c r="D142" s="221" t="str">
        <f>IF(B142="","",IFERROR(VLOOKUP(B142,'Bug Tracker'!$A:$L,2,FALSE),"Not Found"))</f>
        <v/>
      </c>
      <c r="E142" s="222"/>
      <c r="F142" s="222"/>
      <c r="G142" s="222"/>
      <c r="H142" s="222"/>
      <c r="I142" s="223"/>
      <c r="J142" s="107"/>
      <c r="K142" s="213" t="str">
        <f>IF(B142="","",IFERROR(VLOOKUP(B142,'Bug Tracker'!$A:$L,3,FALSE),""))</f>
        <v/>
      </c>
      <c r="L142" s="101"/>
      <c r="M142" s="214" t="str">
        <f>IF(B142="","",IFERROR(VLOOKUP(B142,'Bug Tracker'!$A:$L,4,FALSE),""))</f>
        <v/>
      </c>
      <c r="N142" s="101"/>
      <c r="O142" s="214" t="str">
        <f>IF(B142="","",IFERROR(VLOOKUP(B142,'Bug Tracker'!$A:$L,5,FALSE),""))</f>
        <v/>
      </c>
      <c r="P142" s="101"/>
      <c r="Q142" s="96" t="str">
        <f>IF(B142="","",IFERROR(VLOOKUP(B142,'Bug Tracker'!$A:$L,6,FALSE),""))</f>
        <v/>
      </c>
      <c r="R142" s="101"/>
      <c r="S142" s="214" t="str">
        <f>IF(B142="","",IFERROR(VLOOKUP(B142,'Bug Tracker'!$A:$L,7,FALSE),""))</f>
        <v/>
      </c>
      <c r="T142" s="102"/>
      <c r="U142" s="219" t="str">
        <f>IF(B142="","",IFERROR(VLOOKUP(B142,'Bug Tracker'!$A:$L,10,FALSE),""))</f>
        <v/>
      </c>
      <c r="V142" s="220"/>
      <c r="W142" s="73"/>
      <c r="X142" s="91"/>
      <c r="Y142" s="100"/>
    </row>
    <row r="143" spans="1:25" ht="20.100000000000001" customHeight="1" x14ac:dyDescent="0.25">
      <c r="A143" s="100"/>
      <c r="B143" s="92"/>
      <c r="C143" s="111"/>
      <c r="D143" s="216" t="str">
        <f>IF(B143="","",IFERROR(VLOOKUP(B143,'Bug Tracker'!$A:$L,2,FALSE),"Not Found"))</f>
        <v/>
      </c>
      <c r="E143" s="217"/>
      <c r="F143" s="217"/>
      <c r="G143" s="217"/>
      <c r="H143" s="217"/>
      <c r="I143" s="218"/>
      <c r="J143" s="106"/>
      <c r="K143" s="208" t="str">
        <f>IF(B143="","",IFERROR(VLOOKUP(B143,'Bug Tracker'!$A:$L,3,FALSE),""))</f>
        <v/>
      </c>
      <c r="L143" s="98"/>
      <c r="M143" s="209" t="str">
        <f>IF(B143="","",IFERROR(VLOOKUP(B143,'Bug Tracker'!$A:$L,4,FALSE),""))</f>
        <v/>
      </c>
      <c r="N143" s="98"/>
      <c r="O143" s="209" t="str">
        <f>IF(B143="","",IFERROR(VLOOKUP(B143,'Bug Tracker'!$A:$L,5,FALSE),""))</f>
        <v/>
      </c>
      <c r="P143" s="98"/>
      <c r="Q143" s="93" t="str">
        <f>IF(B143="","",IFERROR(VLOOKUP(B143,'Bug Tracker'!$A:$L,6,FALSE),""))</f>
        <v/>
      </c>
      <c r="R143" s="98"/>
      <c r="S143" s="209" t="str">
        <f>IF(B143="","",IFERROR(VLOOKUP(B143,'Bug Tracker'!$A:$L,7,FALSE),""))</f>
        <v/>
      </c>
      <c r="T143" s="99"/>
      <c r="U143" s="219" t="str">
        <f>IF(B143="","",IFERROR(VLOOKUP(B143,'Bug Tracker'!$A:$L,10,FALSE),""))</f>
        <v/>
      </c>
      <c r="V143" s="220"/>
      <c r="W143" s="73"/>
      <c r="X143" s="91"/>
      <c r="Y143" s="100"/>
    </row>
    <row r="144" spans="1:25" ht="20.100000000000001" customHeight="1" x14ac:dyDescent="0.25">
      <c r="A144" s="100"/>
      <c r="B144" s="95"/>
      <c r="C144" s="112"/>
      <c r="D144" s="221" t="str">
        <f>IF(B144="","",IFERROR(VLOOKUP(B144,'Bug Tracker'!$A:$L,2,FALSE),"Not Found"))</f>
        <v/>
      </c>
      <c r="E144" s="222"/>
      <c r="F144" s="222"/>
      <c r="G144" s="222"/>
      <c r="H144" s="222"/>
      <c r="I144" s="223"/>
      <c r="J144" s="107"/>
      <c r="K144" s="213" t="str">
        <f>IF(B144="","",IFERROR(VLOOKUP(B144,'Bug Tracker'!$A:$L,3,FALSE),""))</f>
        <v/>
      </c>
      <c r="L144" s="101"/>
      <c r="M144" s="214" t="str">
        <f>IF(B144="","",IFERROR(VLOOKUP(B144,'Bug Tracker'!$A:$L,4,FALSE),""))</f>
        <v/>
      </c>
      <c r="N144" s="101"/>
      <c r="O144" s="214" t="str">
        <f>IF(B144="","",IFERROR(VLOOKUP(B144,'Bug Tracker'!$A:$L,5,FALSE),""))</f>
        <v/>
      </c>
      <c r="P144" s="101"/>
      <c r="Q144" s="96" t="str">
        <f>IF(B144="","",IFERROR(VLOOKUP(B144,'Bug Tracker'!$A:$L,6,FALSE),""))</f>
        <v/>
      </c>
      <c r="R144" s="101"/>
      <c r="S144" s="214" t="str">
        <f>IF(B144="","",IFERROR(VLOOKUP(B144,'Bug Tracker'!$A:$L,7,FALSE),""))</f>
        <v/>
      </c>
      <c r="T144" s="102"/>
      <c r="U144" s="219" t="str">
        <f>IF(B144="","",IFERROR(VLOOKUP(B144,'Bug Tracker'!$A:$L,10,FALSE),""))</f>
        <v/>
      </c>
      <c r="V144" s="220"/>
      <c r="W144" s="73"/>
      <c r="X144" s="91"/>
      <c r="Y144" s="100"/>
    </row>
    <row r="145" spans="1:25" ht="20.100000000000001" customHeight="1" x14ac:dyDescent="0.25">
      <c r="A145" s="100"/>
      <c r="B145" s="92"/>
      <c r="C145" s="111"/>
      <c r="D145" s="216" t="str">
        <f>IF(B145="","",IFERROR(VLOOKUP(B145,'Bug Tracker'!$A:$L,2,FALSE),"Not Found"))</f>
        <v/>
      </c>
      <c r="E145" s="217"/>
      <c r="F145" s="217"/>
      <c r="G145" s="217"/>
      <c r="H145" s="217"/>
      <c r="I145" s="218"/>
      <c r="J145" s="106"/>
      <c r="K145" s="208" t="str">
        <f>IF(B145="","",IFERROR(VLOOKUP(B145,'Bug Tracker'!$A:$L,3,FALSE),""))</f>
        <v/>
      </c>
      <c r="L145" s="98"/>
      <c r="M145" s="209" t="str">
        <f>IF(B145="","",IFERROR(VLOOKUP(B145,'Bug Tracker'!$A:$L,4,FALSE),""))</f>
        <v/>
      </c>
      <c r="N145" s="98"/>
      <c r="O145" s="209" t="str">
        <f>IF(B145="","",IFERROR(VLOOKUP(B145,'Bug Tracker'!$A:$L,5,FALSE),""))</f>
        <v/>
      </c>
      <c r="P145" s="98"/>
      <c r="Q145" s="93" t="str">
        <f>IF(B145="","",IFERROR(VLOOKUP(B145,'Bug Tracker'!$A:$L,6,FALSE),""))</f>
        <v/>
      </c>
      <c r="R145" s="98"/>
      <c r="S145" s="209" t="str">
        <f>IF(B145="","",IFERROR(VLOOKUP(B145,'Bug Tracker'!$A:$L,7,FALSE),""))</f>
        <v/>
      </c>
      <c r="T145" s="99"/>
      <c r="U145" s="219" t="str">
        <f>IF(B145="","",IFERROR(VLOOKUP(B145,'Bug Tracker'!$A:$L,10,FALSE),""))</f>
        <v/>
      </c>
      <c r="V145" s="220"/>
      <c r="W145" s="73"/>
      <c r="X145" s="91"/>
      <c r="Y145" s="100"/>
    </row>
    <row r="146" spans="1:25" ht="20.100000000000001" customHeight="1" x14ac:dyDescent="0.25">
      <c r="A146" s="100"/>
      <c r="B146" s="95"/>
      <c r="C146" s="112"/>
      <c r="D146" s="221" t="str">
        <f>IF(B146="","",IFERROR(VLOOKUP(B146,'Bug Tracker'!$A:$L,2,FALSE),"Not Found"))</f>
        <v/>
      </c>
      <c r="E146" s="222"/>
      <c r="F146" s="222"/>
      <c r="G146" s="222"/>
      <c r="H146" s="222"/>
      <c r="I146" s="223"/>
      <c r="J146" s="107"/>
      <c r="K146" s="213" t="str">
        <f>IF(B146="","",IFERROR(VLOOKUP(B146,'Bug Tracker'!$A:$L,3,FALSE),""))</f>
        <v/>
      </c>
      <c r="L146" s="101"/>
      <c r="M146" s="214" t="str">
        <f>IF(B146="","",IFERROR(VLOOKUP(B146,'Bug Tracker'!$A:$L,4,FALSE),""))</f>
        <v/>
      </c>
      <c r="N146" s="101"/>
      <c r="O146" s="214" t="str">
        <f>IF(B146="","",IFERROR(VLOOKUP(B146,'Bug Tracker'!$A:$L,5,FALSE),""))</f>
        <v/>
      </c>
      <c r="P146" s="101"/>
      <c r="Q146" s="96" t="str">
        <f>IF(B146="","",IFERROR(VLOOKUP(B146,'Bug Tracker'!$A:$L,6,FALSE),""))</f>
        <v/>
      </c>
      <c r="R146" s="101"/>
      <c r="S146" s="214" t="str">
        <f>IF(B146="","",IFERROR(VLOOKUP(B146,'Bug Tracker'!$A:$L,7,FALSE),""))</f>
        <v/>
      </c>
      <c r="T146" s="102"/>
      <c r="U146" s="219" t="str">
        <f>IF(B146="","",IFERROR(VLOOKUP(B146,'Bug Tracker'!$A:$L,10,FALSE),""))</f>
        <v/>
      </c>
      <c r="V146" s="220"/>
      <c r="W146" s="73"/>
      <c r="X146" s="91"/>
      <c r="Y146" s="100"/>
    </row>
    <row r="147" spans="1:25" ht="20.100000000000001" customHeight="1" x14ac:dyDescent="0.25">
      <c r="A147" s="100"/>
      <c r="B147" s="92"/>
      <c r="C147" s="111"/>
      <c r="D147" s="216" t="str">
        <f>IF(B147="","",IFERROR(VLOOKUP(B147,'Bug Tracker'!$A:$L,2,FALSE),"Not Found"))</f>
        <v/>
      </c>
      <c r="E147" s="217"/>
      <c r="F147" s="217"/>
      <c r="G147" s="217"/>
      <c r="H147" s="217"/>
      <c r="I147" s="218"/>
      <c r="J147" s="106"/>
      <c r="K147" s="208" t="str">
        <f>IF(B147="","",IFERROR(VLOOKUP(B147,'Bug Tracker'!$A:$L,3,FALSE),""))</f>
        <v/>
      </c>
      <c r="L147" s="98"/>
      <c r="M147" s="209" t="str">
        <f>IF(B147="","",IFERROR(VLOOKUP(B147,'Bug Tracker'!$A:$L,4,FALSE),""))</f>
        <v/>
      </c>
      <c r="N147" s="98"/>
      <c r="O147" s="209" t="str">
        <f>IF(B147="","",IFERROR(VLOOKUP(B147,'Bug Tracker'!$A:$L,5,FALSE),""))</f>
        <v/>
      </c>
      <c r="P147" s="98"/>
      <c r="Q147" s="93" t="str">
        <f>IF(B147="","",IFERROR(VLOOKUP(B147,'Bug Tracker'!$A:$L,6,FALSE),""))</f>
        <v/>
      </c>
      <c r="R147" s="98"/>
      <c r="S147" s="209" t="str">
        <f>IF(B147="","",IFERROR(VLOOKUP(B147,'Bug Tracker'!$A:$L,7,FALSE),""))</f>
        <v/>
      </c>
      <c r="T147" s="99"/>
      <c r="U147" s="219" t="str">
        <f>IF(B147="","",IFERROR(VLOOKUP(B147,'Bug Tracker'!$A:$L,10,FALSE),""))</f>
        <v/>
      </c>
      <c r="V147" s="220"/>
      <c r="W147" s="73"/>
      <c r="X147" s="91"/>
      <c r="Y147" s="100"/>
    </row>
    <row r="148" spans="1:25" ht="20.100000000000001" customHeight="1" x14ac:dyDescent="0.25">
      <c r="A148" s="100"/>
      <c r="B148" s="95"/>
      <c r="C148" s="112"/>
      <c r="D148" s="221" t="str">
        <f>IF(B148="","",IFERROR(VLOOKUP(B148,'Bug Tracker'!$A:$L,2,FALSE),"Not Found"))</f>
        <v/>
      </c>
      <c r="E148" s="222"/>
      <c r="F148" s="222"/>
      <c r="G148" s="222"/>
      <c r="H148" s="222"/>
      <c r="I148" s="223"/>
      <c r="J148" s="107"/>
      <c r="K148" s="213" t="str">
        <f>IF(B148="","",IFERROR(VLOOKUP(B148,'Bug Tracker'!$A:$L,3,FALSE),""))</f>
        <v/>
      </c>
      <c r="L148" s="101"/>
      <c r="M148" s="214" t="str">
        <f>IF(B148="","",IFERROR(VLOOKUP(B148,'Bug Tracker'!$A:$L,4,FALSE),""))</f>
        <v/>
      </c>
      <c r="N148" s="101"/>
      <c r="O148" s="214" t="str">
        <f>IF(B148="","",IFERROR(VLOOKUP(B148,'Bug Tracker'!$A:$L,5,FALSE),""))</f>
        <v/>
      </c>
      <c r="P148" s="101"/>
      <c r="Q148" s="96" t="str">
        <f>IF(B148="","",IFERROR(VLOOKUP(B148,'Bug Tracker'!$A:$L,6,FALSE),""))</f>
        <v/>
      </c>
      <c r="R148" s="101"/>
      <c r="S148" s="214" t="str">
        <f>IF(B148="","",IFERROR(VLOOKUP(B148,'Bug Tracker'!$A:$L,7,FALSE),""))</f>
        <v/>
      </c>
      <c r="T148" s="102"/>
      <c r="U148" s="219" t="str">
        <f>IF(B148="","",IFERROR(VLOOKUP(B148,'Bug Tracker'!$A:$L,10,FALSE),""))</f>
        <v/>
      </c>
      <c r="V148" s="220"/>
      <c r="W148" s="73"/>
      <c r="X148" s="91"/>
      <c r="Y148" s="100"/>
    </row>
    <row r="149" spans="1:25" ht="20.100000000000001" customHeight="1" x14ac:dyDescent="0.25">
      <c r="A149" s="100"/>
      <c r="B149" s="92"/>
      <c r="C149" s="111"/>
      <c r="D149" s="216" t="str">
        <f>IF(B149="","",IFERROR(VLOOKUP(B149,'Bug Tracker'!$A:$L,2,FALSE),"Not Found"))</f>
        <v/>
      </c>
      <c r="E149" s="217"/>
      <c r="F149" s="217"/>
      <c r="G149" s="217"/>
      <c r="H149" s="217"/>
      <c r="I149" s="218"/>
      <c r="J149" s="106"/>
      <c r="K149" s="208" t="str">
        <f>IF(B149="","",IFERROR(VLOOKUP(B149,'Bug Tracker'!$A:$L,3,FALSE),""))</f>
        <v/>
      </c>
      <c r="L149" s="98"/>
      <c r="M149" s="209" t="str">
        <f>IF(B149="","",IFERROR(VLOOKUP(B149,'Bug Tracker'!$A:$L,4,FALSE),""))</f>
        <v/>
      </c>
      <c r="N149" s="98"/>
      <c r="O149" s="209" t="str">
        <f>IF(B149="","",IFERROR(VLOOKUP(B149,'Bug Tracker'!$A:$L,5,FALSE),""))</f>
        <v/>
      </c>
      <c r="P149" s="98"/>
      <c r="Q149" s="93" t="str">
        <f>IF(B149="","",IFERROR(VLOOKUP(B149,'Bug Tracker'!$A:$L,6,FALSE),""))</f>
        <v/>
      </c>
      <c r="R149" s="98"/>
      <c r="S149" s="209" t="str">
        <f>IF(B149="","",IFERROR(VLOOKUP(B149,'Bug Tracker'!$A:$L,7,FALSE),""))</f>
        <v/>
      </c>
      <c r="T149" s="99"/>
      <c r="U149" s="219" t="str">
        <f>IF(B149="","",IFERROR(VLOOKUP(B149,'Bug Tracker'!$A:$L,10,FALSE),""))</f>
        <v/>
      </c>
      <c r="V149" s="220"/>
      <c r="W149" s="73"/>
      <c r="X149" s="91"/>
      <c r="Y149" s="100"/>
    </row>
    <row r="150" spans="1:25" ht="20.100000000000001" customHeight="1" x14ac:dyDescent="0.25">
      <c r="A150" s="100"/>
      <c r="B150" s="95"/>
      <c r="C150" s="112"/>
      <c r="D150" s="221" t="str">
        <f>IF(B150="","",IFERROR(VLOOKUP(B150,'Bug Tracker'!$A:$L,2,FALSE),"Not Found"))</f>
        <v/>
      </c>
      <c r="E150" s="222"/>
      <c r="F150" s="222"/>
      <c r="G150" s="222"/>
      <c r="H150" s="222"/>
      <c r="I150" s="223"/>
      <c r="J150" s="107"/>
      <c r="K150" s="213" t="str">
        <f>IF(B150="","",IFERROR(VLOOKUP(B150,'Bug Tracker'!$A:$L,3,FALSE),""))</f>
        <v/>
      </c>
      <c r="L150" s="101"/>
      <c r="M150" s="214" t="str">
        <f>IF(B150="","",IFERROR(VLOOKUP(B150,'Bug Tracker'!$A:$L,4,FALSE),""))</f>
        <v/>
      </c>
      <c r="N150" s="101"/>
      <c r="O150" s="214" t="str">
        <f>IF(B150="","",IFERROR(VLOOKUP(B150,'Bug Tracker'!$A:$L,5,FALSE),""))</f>
        <v/>
      </c>
      <c r="P150" s="101"/>
      <c r="Q150" s="96" t="str">
        <f>IF(B150="","",IFERROR(VLOOKUP(B150,'Bug Tracker'!$A:$L,6,FALSE),""))</f>
        <v/>
      </c>
      <c r="R150" s="101"/>
      <c r="S150" s="214" t="str">
        <f>IF(B150="","",IFERROR(VLOOKUP(B150,'Bug Tracker'!$A:$L,7,FALSE),""))</f>
        <v/>
      </c>
      <c r="T150" s="102"/>
      <c r="U150" s="219" t="str">
        <f>IF(B150="","",IFERROR(VLOOKUP(B150,'Bug Tracker'!$A:$L,10,FALSE),""))</f>
        <v/>
      </c>
      <c r="V150" s="220"/>
      <c r="W150" s="73"/>
      <c r="X150" s="91"/>
      <c r="Y150" s="100"/>
    </row>
    <row r="151" spans="1:25" ht="20.100000000000001" customHeight="1" x14ac:dyDescent="0.25">
      <c r="A151" s="100"/>
      <c r="B151" s="92"/>
      <c r="C151" s="111"/>
      <c r="D151" s="216" t="str">
        <f>IF(B151="","",IFERROR(VLOOKUP(B151,'Bug Tracker'!$A:$L,2,FALSE),"Not Found"))</f>
        <v/>
      </c>
      <c r="E151" s="217"/>
      <c r="F151" s="217"/>
      <c r="G151" s="217"/>
      <c r="H151" s="217"/>
      <c r="I151" s="218"/>
      <c r="J151" s="106"/>
      <c r="K151" s="208" t="str">
        <f>IF(B151="","",IFERROR(VLOOKUP(B151,'Bug Tracker'!$A:$L,3,FALSE),""))</f>
        <v/>
      </c>
      <c r="L151" s="98"/>
      <c r="M151" s="209" t="str">
        <f>IF(B151="","",IFERROR(VLOOKUP(B151,'Bug Tracker'!$A:$L,4,FALSE),""))</f>
        <v/>
      </c>
      <c r="N151" s="98"/>
      <c r="O151" s="209" t="str">
        <f>IF(B151="","",IFERROR(VLOOKUP(B151,'Bug Tracker'!$A:$L,5,FALSE),""))</f>
        <v/>
      </c>
      <c r="P151" s="98"/>
      <c r="Q151" s="93" t="str">
        <f>IF(B151="","",IFERROR(VLOOKUP(B151,'Bug Tracker'!$A:$L,6,FALSE),""))</f>
        <v/>
      </c>
      <c r="R151" s="98"/>
      <c r="S151" s="209" t="str">
        <f>IF(B151="","",IFERROR(VLOOKUP(B151,'Bug Tracker'!$A:$L,7,FALSE),""))</f>
        <v/>
      </c>
      <c r="T151" s="99"/>
      <c r="U151" s="219" t="str">
        <f>IF(B151="","",IFERROR(VLOOKUP(B151,'Bug Tracker'!$A:$L,10,FALSE),""))</f>
        <v/>
      </c>
      <c r="V151" s="220"/>
      <c r="W151" s="73"/>
      <c r="X151" s="91"/>
      <c r="Y151" s="100"/>
    </row>
    <row r="152" spans="1:25" ht="20.100000000000001" customHeight="1" x14ac:dyDescent="0.25">
      <c r="A152" s="100"/>
      <c r="B152" s="95"/>
      <c r="C152" s="112"/>
      <c r="D152" s="221" t="str">
        <f>IF(B152="","",IFERROR(VLOOKUP(B152,'Bug Tracker'!$A:$L,2,FALSE),"Not Found"))</f>
        <v/>
      </c>
      <c r="E152" s="222"/>
      <c r="F152" s="222"/>
      <c r="G152" s="222"/>
      <c r="H152" s="222"/>
      <c r="I152" s="223"/>
      <c r="J152" s="107"/>
      <c r="K152" s="213" t="str">
        <f>IF(B152="","",IFERROR(VLOOKUP(B152,'Bug Tracker'!$A:$L,3,FALSE),""))</f>
        <v/>
      </c>
      <c r="L152" s="101"/>
      <c r="M152" s="214" t="str">
        <f>IF(B152="","",IFERROR(VLOOKUP(B152,'Bug Tracker'!$A:$L,4,FALSE),""))</f>
        <v/>
      </c>
      <c r="N152" s="101"/>
      <c r="O152" s="214" t="str">
        <f>IF(B152="","",IFERROR(VLOOKUP(B152,'Bug Tracker'!$A:$L,5,FALSE),""))</f>
        <v/>
      </c>
      <c r="P152" s="101"/>
      <c r="Q152" s="96" t="str">
        <f>IF(B152="","",IFERROR(VLOOKUP(B152,'Bug Tracker'!$A:$L,6,FALSE),""))</f>
        <v/>
      </c>
      <c r="R152" s="101"/>
      <c r="S152" s="214" t="str">
        <f>IF(B152="","",IFERROR(VLOOKUP(B152,'Bug Tracker'!$A:$L,7,FALSE),""))</f>
        <v/>
      </c>
      <c r="T152" s="102"/>
      <c r="U152" s="219" t="str">
        <f>IF(B152="","",IFERROR(VLOOKUP(B152,'Bug Tracker'!$A:$L,10,FALSE),""))</f>
        <v/>
      </c>
      <c r="V152" s="220"/>
      <c r="W152" s="73"/>
      <c r="X152" s="91"/>
      <c r="Y152" s="100"/>
    </row>
    <row r="153" spans="1:25" ht="20.100000000000001" customHeight="1" x14ac:dyDescent="0.25">
      <c r="A153" s="100"/>
      <c r="B153" s="92"/>
      <c r="C153" s="111"/>
      <c r="D153" s="216" t="str">
        <f>IF(B153="","",IFERROR(VLOOKUP(B153,'Bug Tracker'!$A:$L,2,FALSE),"Not Found"))</f>
        <v/>
      </c>
      <c r="E153" s="217"/>
      <c r="F153" s="217"/>
      <c r="G153" s="217"/>
      <c r="H153" s="217"/>
      <c r="I153" s="218"/>
      <c r="J153" s="106"/>
      <c r="K153" s="208" t="str">
        <f>IF(B153="","",IFERROR(VLOOKUP(B153,'Bug Tracker'!$A:$L,3,FALSE),""))</f>
        <v/>
      </c>
      <c r="L153" s="98"/>
      <c r="M153" s="209" t="str">
        <f>IF(B153="","",IFERROR(VLOOKUP(B153,'Bug Tracker'!$A:$L,4,FALSE),""))</f>
        <v/>
      </c>
      <c r="N153" s="98"/>
      <c r="O153" s="209" t="str">
        <f>IF(B153="","",IFERROR(VLOOKUP(B153,'Bug Tracker'!$A:$L,5,FALSE),""))</f>
        <v/>
      </c>
      <c r="P153" s="98"/>
      <c r="Q153" s="93" t="str">
        <f>IF(B153="","",IFERROR(VLOOKUP(B153,'Bug Tracker'!$A:$L,6,FALSE),""))</f>
        <v/>
      </c>
      <c r="R153" s="98"/>
      <c r="S153" s="209" t="str">
        <f>IF(B153="","",IFERROR(VLOOKUP(B153,'Bug Tracker'!$A:$L,7,FALSE),""))</f>
        <v/>
      </c>
      <c r="T153" s="99"/>
      <c r="U153" s="219" t="str">
        <f>IF(B153="","",IFERROR(VLOOKUP(B153,'Bug Tracker'!$A:$L,10,FALSE),""))</f>
        <v/>
      </c>
      <c r="V153" s="220"/>
      <c r="W153" s="73"/>
      <c r="X153" s="91"/>
      <c r="Y153" s="100"/>
    </row>
    <row r="154" spans="1:25" ht="20.100000000000001" customHeight="1" x14ac:dyDescent="0.25">
      <c r="A154" s="100"/>
      <c r="B154" s="95"/>
      <c r="C154" s="112"/>
      <c r="D154" s="221" t="str">
        <f>IF(B154="","",IFERROR(VLOOKUP(B154,'Bug Tracker'!$A:$L,2,FALSE),"Not Found"))</f>
        <v/>
      </c>
      <c r="E154" s="222"/>
      <c r="F154" s="222"/>
      <c r="G154" s="222"/>
      <c r="H154" s="222"/>
      <c r="I154" s="223"/>
      <c r="J154" s="107"/>
      <c r="K154" s="213" t="str">
        <f>IF(B154="","",IFERROR(VLOOKUP(B154,'Bug Tracker'!$A:$L,3,FALSE),""))</f>
        <v/>
      </c>
      <c r="L154" s="101"/>
      <c r="M154" s="214" t="str">
        <f>IF(B154="","",IFERROR(VLOOKUP(B154,'Bug Tracker'!$A:$L,4,FALSE),""))</f>
        <v/>
      </c>
      <c r="N154" s="101"/>
      <c r="O154" s="214" t="str">
        <f>IF(B154="","",IFERROR(VLOOKUP(B154,'Bug Tracker'!$A:$L,5,FALSE),""))</f>
        <v/>
      </c>
      <c r="P154" s="101"/>
      <c r="Q154" s="96" t="str">
        <f>IF(B154="","",IFERROR(VLOOKUP(B154,'Bug Tracker'!$A:$L,6,FALSE),""))</f>
        <v/>
      </c>
      <c r="R154" s="101"/>
      <c r="S154" s="214" t="str">
        <f>IF(B154="","",IFERROR(VLOOKUP(B154,'Bug Tracker'!$A:$L,7,FALSE),""))</f>
        <v/>
      </c>
      <c r="T154" s="102"/>
      <c r="U154" s="219" t="str">
        <f>IF(B154="","",IFERROR(VLOOKUP(B154,'Bug Tracker'!$A:$L,10,FALSE),""))</f>
        <v/>
      </c>
      <c r="V154" s="220"/>
      <c r="W154" s="73"/>
      <c r="X154" s="91"/>
      <c r="Y154" s="100"/>
    </row>
    <row r="155" spans="1:25" ht="20.100000000000001" customHeight="1" x14ac:dyDescent="0.25">
      <c r="A155" s="100"/>
      <c r="B155" s="92"/>
      <c r="C155" s="111"/>
      <c r="D155" s="216" t="str">
        <f>IF(B155="","",IFERROR(VLOOKUP(B155,'Bug Tracker'!$A:$L,2,FALSE),"Not Found"))</f>
        <v/>
      </c>
      <c r="E155" s="217"/>
      <c r="F155" s="217"/>
      <c r="G155" s="217"/>
      <c r="H155" s="217"/>
      <c r="I155" s="218"/>
      <c r="J155" s="106"/>
      <c r="K155" s="208" t="str">
        <f>IF(B155="","",IFERROR(VLOOKUP(B155,'Bug Tracker'!$A:$L,3,FALSE),""))</f>
        <v/>
      </c>
      <c r="L155" s="98"/>
      <c r="M155" s="209" t="str">
        <f>IF(B155="","",IFERROR(VLOOKUP(B155,'Bug Tracker'!$A:$L,4,FALSE),""))</f>
        <v/>
      </c>
      <c r="N155" s="98"/>
      <c r="O155" s="209" t="str">
        <f>IF(B155="","",IFERROR(VLOOKUP(B155,'Bug Tracker'!$A:$L,5,FALSE),""))</f>
        <v/>
      </c>
      <c r="P155" s="98"/>
      <c r="Q155" s="93" t="str">
        <f>IF(B155="","",IFERROR(VLOOKUP(B155,'Bug Tracker'!$A:$L,6,FALSE),""))</f>
        <v/>
      </c>
      <c r="R155" s="98"/>
      <c r="S155" s="209" t="str">
        <f>IF(B155="","",IFERROR(VLOOKUP(B155,'Bug Tracker'!$A:$L,7,FALSE),""))</f>
        <v/>
      </c>
      <c r="T155" s="99"/>
      <c r="U155" s="219" t="str">
        <f>IF(B155="","",IFERROR(VLOOKUP(B155,'Bug Tracker'!$A:$L,10,FALSE),""))</f>
        <v/>
      </c>
      <c r="V155" s="220"/>
      <c r="W155" s="73"/>
      <c r="X155" s="91"/>
      <c r="Y155" s="100"/>
    </row>
    <row r="156" spans="1:25" ht="20.100000000000001" customHeight="1" x14ac:dyDescent="0.25">
      <c r="A156" s="100"/>
      <c r="B156" s="95"/>
      <c r="C156" s="112"/>
      <c r="D156" s="221" t="str">
        <f>IF(B156="","",IFERROR(VLOOKUP(B156,'Bug Tracker'!$A:$L,2,FALSE),"Not Found"))</f>
        <v/>
      </c>
      <c r="E156" s="222"/>
      <c r="F156" s="222"/>
      <c r="G156" s="222"/>
      <c r="H156" s="222"/>
      <c r="I156" s="223"/>
      <c r="J156" s="107"/>
      <c r="K156" s="213" t="str">
        <f>IF(B156="","",IFERROR(VLOOKUP(B156,'Bug Tracker'!$A:$L,3,FALSE),""))</f>
        <v/>
      </c>
      <c r="L156" s="101"/>
      <c r="M156" s="214" t="str">
        <f>IF(B156="","",IFERROR(VLOOKUP(B156,'Bug Tracker'!$A:$L,4,FALSE),""))</f>
        <v/>
      </c>
      <c r="N156" s="101"/>
      <c r="O156" s="214" t="str">
        <f>IF(B156="","",IFERROR(VLOOKUP(B156,'Bug Tracker'!$A:$L,5,FALSE),""))</f>
        <v/>
      </c>
      <c r="P156" s="101"/>
      <c r="Q156" s="96" t="str">
        <f>IF(B156="","",IFERROR(VLOOKUP(B156,'Bug Tracker'!$A:$L,6,FALSE),""))</f>
        <v/>
      </c>
      <c r="R156" s="101"/>
      <c r="S156" s="214" t="str">
        <f>IF(B156="","",IFERROR(VLOOKUP(B156,'Bug Tracker'!$A:$L,7,FALSE),""))</f>
        <v/>
      </c>
      <c r="T156" s="102"/>
      <c r="U156" s="219" t="str">
        <f>IF(B156="","",IFERROR(VLOOKUP(B156,'Bug Tracker'!$A:$L,10,FALSE),""))</f>
        <v/>
      </c>
      <c r="V156" s="220"/>
      <c r="W156" s="73"/>
      <c r="X156" s="91"/>
      <c r="Y156" s="100"/>
    </row>
    <row r="157" spans="1:25" ht="20.100000000000001" customHeight="1" x14ac:dyDescent="0.25">
      <c r="A157" s="100"/>
      <c r="B157" s="92"/>
      <c r="C157" s="111"/>
      <c r="D157" s="216" t="str">
        <f>IF(B157="","",IFERROR(VLOOKUP(B157,'Bug Tracker'!$A:$L,2,FALSE),"Not Found"))</f>
        <v/>
      </c>
      <c r="E157" s="217"/>
      <c r="F157" s="217"/>
      <c r="G157" s="217"/>
      <c r="H157" s="217"/>
      <c r="I157" s="218"/>
      <c r="J157" s="106"/>
      <c r="K157" s="208" t="str">
        <f>IF(B157="","",IFERROR(VLOOKUP(B157,'Bug Tracker'!$A:$L,3,FALSE),""))</f>
        <v/>
      </c>
      <c r="L157" s="98"/>
      <c r="M157" s="209" t="str">
        <f>IF(B157="","",IFERROR(VLOOKUP(B157,'Bug Tracker'!$A:$L,4,FALSE),""))</f>
        <v/>
      </c>
      <c r="N157" s="98"/>
      <c r="O157" s="209" t="str">
        <f>IF(B157="","",IFERROR(VLOOKUP(B157,'Bug Tracker'!$A:$L,5,FALSE),""))</f>
        <v/>
      </c>
      <c r="P157" s="98"/>
      <c r="Q157" s="93" t="str">
        <f>IF(B157="","",IFERROR(VLOOKUP(B157,'Bug Tracker'!$A:$L,6,FALSE),""))</f>
        <v/>
      </c>
      <c r="R157" s="98"/>
      <c r="S157" s="209" t="str">
        <f>IF(B157="","",IFERROR(VLOOKUP(B157,'Bug Tracker'!$A:$L,7,FALSE),""))</f>
        <v/>
      </c>
      <c r="T157" s="99"/>
      <c r="U157" s="219" t="str">
        <f>IF(B157="","",IFERROR(VLOOKUP(B157,'Bug Tracker'!$A:$L,10,FALSE),""))</f>
        <v/>
      </c>
      <c r="V157" s="220"/>
      <c r="W157" s="73"/>
      <c r="X157" s="91"/>
      <c r="Y157" s="100"/>
    </row>
    <row r="158" spans="1:25" ht="20.100000000000001" customHeight="1" x14ac:dyDescent="0.25">
      <c r="A158" s="100"/>
      <c r="B158" s="95"/>
      <c r="C158" s="112"/>
      <c r="D158" s="221" t="str">
        <f>IF(B158="","",IFERROR(VLOOKUP(B158,'Bug Tracker'!$A:$L,2,FALSE),"Not Found"))</f>
        <v/>
      </c>
      <c r="E158" s="222"/>
      <c r="F158" s="222"/>
      <c r="G158" s="222"/>
      <c r="H158" s="222"/>
      <c r="I158" s="223"/>
      <c r="J158" s="107"/>
      <c r="K158" s="213" t="str">
        <f>IF(B158="","",IFERROR(VLOOKUP(B158,'Bug Tracker'!$A:$L,3,FALSE),""))</f>
        <v/>
      </c>
      <c r="L158" s="101"/>
      <c r="M158" s="214" t="str">
        <f>IF(B158="","",IFERROR(VLOOKUP(B158,'Bug Tracker'!$A:$L,4,FALSE),""))</f>
        <v/>
      </c>
      <c r="N158" s="101"/>
      <c r="O158" s="214" t="str">
        <f>IF(B158="","",IFERROR(VLOOKUP(B158,'Bug Tracker'!$A:$L,5,FALSE),""))</f>
        <v/>
      </c>
      <c r="P158" s="101"/>
      <c r="Q158" s="96" t="str">
        <f>IF(B158="","",IFERROR(VLOOKUP(B158,'Bug Tracker'!$A:$L,6,FALSE),""))</f>
        <v/>
      </c>
      <c r="R158" s="101"/>
      <c r="S158" s="214" t="str">
        <f>IF(B158="","",IFERROR(VLOOKUP(B158,'Bug Tracker'!$A:$L,7,FALSE),""))</f>
        <v/>
      </c>
      <c r="T158" s="102"/>
      <c r="U158" s="219" t="str">
        <f>IF(B158="","",IFERROR(VLOOKUP(B158,'Bug Tracker'!$A:$L,10,FALSE),""))</f>
        <v/>
      </c>
      <c r="V158" s="220"/>
      <c r="W158" s="73"/>
      <c r="X158" s="91"/>
      <c r="Y158" s="100"/>
    </row>
    <row r="159" spans="1:25" ht="20.100000000000001" customHeight="1" x14ac:dyDescent="0.25">
      <c r="A159" s="100"/>
      <c r="B159" s="92"/>
      <c r="C159" s="111"/>
      <c r="D159" s="216" t="str">
        <f>IF(B159="","",IFERROR(VLOOKUP(B159,'Bug Tracker'!$A:$L,2,FALSE),"Not Found"))</f>
        <v/>
      </c>
      <c r="E159" s="217"/>
      <c r="F159" s="217"/>
      <c r="G159" s="217"/>
      <c r="H159" s="217"/>
      <c r="I159" s="218"/>
      <c r="J159" s="106"/>
      <c r="K159" s="208" t="str">
        <f>IF(B159="","",IFERROR(VLOOKUP(B159,'Bug Tracker'!$A:$L,3,FALSE),""))</f>
        <v/>
      </c>
      <c r="L159" s="98"/>
      <c r="M159" s="209" t="str">
        <f>IF(B159="","",IFERROR(VLOOKUP(B159,'Bug Tracker'!$A:$L,4,FALSE),""))</f>
        <v/>
      </c>
      <c r="N159" s="98"/>
      <c r="O159" s="209" t="str">
        <f>IF(B159="","",IFERROR(VLOOKUP(B159,'Bug Tracker'!$A:$L,5,FALSE),""))</f>
        <v/>
      </c>
      <c r="P159" s="98"/>
      <c r="Q159" s="93" t="str">
        <f>IF(B159="","",IFERROR(VLOOKUP(B159,'Bug Tracker'!$A:$L,6,FALSE),""))</f>
        <v/>
      </c>
      <c r="R159" s="98"/>
      <c r="S159" s="209" t="str">
        <f>IF(B159="","",IFERROR(VLOOKUP(B159,'Bug Tracker'!$A:$L,7,FALSE),""))</f>
        <v/>
      </c>
      <c r="T159" s="99"/>
      <c r="U159" s="219" t="str">
        <f>IF(B159="","",IFERROR(VLOOKUP(B159,'Bug Tracker'!$A:$L,10,FALSE),""))</f>
        <v/>
      </c>
      <c r="V159" s="220"/>
      <c r="W159" s="73"/>
      <c r="X159" s="91"/>
      <c r="Y159" s="100"/>
    </row>
    <row r="160" spans="1:25" ht="20.100000000000001" customHeight="1" x14ac:dyDescent="0.25">
      <c r="A160" s="100"/>
      <c r="B160" s="95"/>
      <c r="C160" s="112"/>
      <c r="D160" s="221" t="str">
        <f>IF(B160="","",IFERROR(VLOOKUP(B160,'Bug Tracker'!$A:$L,2,FALSE),"Not Found"))</f>
        <v/>
      </c>
      <c r="E160" s="222"/>
      <c r="F160" s="222"/>
      <c r="G160" s="222"/>
      <c r="H160" s="222"/>
      <c r="I160" s="223"/>
      <c r="J160" s="107"/>
      <c r="K160" s="213" t="str">
        <f>IF(B160="","",IFERROR(VLOOKUP(B160,'Bug Tracker'!$A:$L,3,FALSE),""))</f>
        <v/>
      </c>
      <c r="L160" s="101"/>
      <c r="M160" s="214" t="str">
        <f>IF(B160="","",IFERROR(VLOOKUP(B160,'Bug Tracker'!$A:$L,4,FALSE),""))</f>
        <v/>
      </c>
      <c r="N160" s="101"/>
      <c r="O160" s="214" t="str">
        <f>IF(B160="","",IFERROR(VLOOKUP(B160,'Bug Tracker'!$A:$L,5,FALSE),""))</f>
        <v/>
      </c>
      <c r="P160" s="101"/>
      <c r="Q160" s="96" t="str">
        <f>IF(B160="","",IFERROR(VLOOKUP(B160,'Bug Tracker'!$A:$L,6,FALSE),""))</f>
        <v/>
      </c>
      <c r="R160" s="101"/>
      <c r="S160" s="214" t="str">
        <f>IF(B160="","",IFERROR(VLOOKUP(B160,'Bug Tracker'!$A:$L,7,FALSE),""))</f>
        <v/>
      </c>
      <c r="T160" s="102"/>
      <c r="U160" s="219" t="str">
        <f>IF(B160="","",IFERROR(VLOOKUP(B160,'Bug Tracker'!$A:$L,10,FALSE),""))</f>
        <v/>
      </c>
      <c r="V160" s="220"/>
      <c r="W160" s="73"/>
      <c r="X160" s="91"/>
      <c r="Y160" s="100"/>
    </row>
    <row r="161" spans="1:25" ht="20.100000000000001" customHeight="1" x14ac:dyDescent="0.25">
      <c r="A161" s="100"/>
      <c r="B161" s="92"/>
      <c r="C161" s="111"/>
      <c r="D161" s="216" t="str">
        <f>IF(B161="","",IFERROR(VLOOKUP(B161,'Bug Tracker'!$A:$L,2,FALSE),"Not Found"))</f>
        <v/>
      </c>
      <c r="E161" s="217"/>
      <c r="F161" s="217"/>
      <c r="G161" s="217"/>
      <c r="H161" s="217"/>
      <c r="I161" s="218"/>
      <c r="J161" s="106"/>
      <c r="K161" s="208" t="str">
        <f>IF(B161="","",IFERROR(VLOOKUP(B161,'Bug Tracker'!$A:$L,3,FALSE),""))</f>
        <v/>
      </c>
      <c r="L161" s="98"/>
      <c r="M161" s="209" t="str">
        <f>IF(B161="","",IFERROR(VLOOKUP(B161,'Bug Tracker'!$A:$L,4,FALSE),""))</f>
        <v/>
      </c>
      <c r="N161" s="98"/>
      <c r="O161" s="209" t="str">
        <f>IF(B161="","",IFERROR(VLOOKUP(B161,'Bug Tracker'!$A:$L,5,FALSE),""))</f>
        <v/>
      </c>
      <c r="P161" s="98"/>
      <c r="Q161" s="93" t="str">
        <f>IF(B161="","",IFERROR(VLOOKUP(B161,'Bug Tracker'!$A:$L,6,FALSE),""))</f>
        <v/>
      </c>
      <c r="R161" s="98"/>
      <c r="S161" s="209" t="str">
        <f>IF(B161="","",IFERROR(VLOOKUP(B161,'Bug Tracker'!$A:$L,7,FALSE),""))</f>
        <v/>
      </c>
      <c r="T161" s="99"/>
      <c r="U161" s="219" t="str">
        <f>IF(B161="","",IFERROR(VLOOKUP(B161,'Bug Tracker'!$A:$L,10,FALSE),""))</f>
        <v/>
      </c>
      <c r="V161" s="220"/>
      <c r="W161" s="73"/>
      <c r="X161" s="91"/>
      <c r="Y161" s="100"/>
    </row>
    <row r="162" spans="1:25" ht="20.100000000000001" customHeight="1" x14ac:dyDescent="0.25">
      <c r="A162" s="100"/>
      <c r="B162" s="95"/>
      <c r="C162" s="112"/>
      <c r="D162" s="221" t="str">
        <f>IF(B162="","",IFERROR(VLOOKUP(B162,'Bug Tracker'!$A:$L,2,FALSE),"Not Found"))</f>
        <v/>
      </c>
      <c r="E162" s="222"/>
      <c r="F162" s="222"/>
      <c r="G162" s="222"/>
      <c r="H162" s="222"/>
      <c r="I162" s="223"/>
      <c r="J162" s="107"/>
      <c r="K162" s="213" t="str">
        <f>IF(B162="","",IFERROR(VLOOKUP(B162,'Bug Tracker'!$A:$L,3,FALSE),""))</f>
        <v/>
      </c>
      <c r="L162" s="101"/>
      <c r="M162" s="214" t="str">
        <f>IF(B162="","",IFERROR(VLOOKUP(B162,'Bug Tracker'!$A:$L,4,FALSE),""))</f>
        <v/>
      </c>
      <c r="N162" s="101"/>
      <c r="O162" s="214" t="str">
        <f>IF(B162="","",IFERROR(VLOOKUP(B162,'Bug Tracker'!$A:$L,5,FALSE),""))</f>
        <v/>
      </c>
      <c r="P162" s="101"/>
      <c r="Q162" s="96" t="str">
        <f>IF(B162="","",IFERROR(VLOOKUP(B162,'Bug Tracker'!$A:$L,6,FALSE),""))</f>
        <v/>
      </c>
      <c r="R162" s="101"/>
      <c r="S162" s="214" t="str">
        <f>IF(B162="","",IFERROR(VLOOKUP(B162,'Bug Tracker'!$A:$L,7,FALSE),""))</f>
        <v/>
      </c>
      <c r="T162" s="102"/>
      <c r="U162" s="219" t="str">
        <f>IF(B162="","",IFERROR(VLOOKUP(B162,'Bug Tracker'!$A:$L,10,FALSE),""))</f>
        <v/>
      </c>
      <c r="V162" s="220"/>
      <c r="W162" s="73"/>
      <c r="X162" s="91"/>
      <c r="Y162" s="100"/>
    </row>
    <row r="163" spans="1:25" ht="20.100000000000001" customHeight="1" x14ac:dyDescent="0.25">
      <c r="A163" s="100"/>
      <c r="B163" s="92"/>
      <c r="C163" s="111"/>
      <c r="D163" s="216" t="str">
        <f>IF(B163="","",IFERROR(VLOOKUP(B163,'Bug Tracker'!$A:$L,2,FALSE),"Not Found"))</f>
        <v/>
      </c>
      <c r="E163" s="217"/>
      <c r="F163" s="217"/>
      <c r="G163" s="217"/>
      <c r="H163" s="217"/>
      <c r="I163" s="218"/>
      <c r="J163" s="106"/>
      <c r="K163" s="208" t="str">
        <f>IF(B163="","",IFERROR(VLOOKUP(B163,'Bug Tracker'!$A:$L,3,FALSE),""))</f>
        <v/>
      </c>
      <c r="L163" s="98"/>
      <c r="M163" s="209" t="str">
        <f>IF(B163="","",IFERROR(VLOOKUP(B163,'Bug Tracker'!$A:$L,4,FALSE),""))</f>
        <v/>
      </c>
      <c r="N163" s="98"/>
      <c r="O163" s="209" t="str">
        <f>IF(B163="","",IFERROR(VLOOKUP(B163,'Bug Tracker'!$A:$L,5,FALSE),""))</f>
        <v/>
      </c>
      <c r="P163" s="98"/>
      <c r="Q163" s="93" t="str">
        <f>IF(B163="","",IFERROR(VLOOKUP(B163,'Bug Tracker'!$A:$L,6,FALSE),""))</f>
        <v/>
      </c>
      <c r="R163" s="98"/>
      <c r="S163" s="209" t="str">
        <f>IF(B163="","",IFERROR(VLOOKUP(B163,'Bug Tracker'!$A:$L,7,FALSE),""))</f>
        <v/>
      </c>
      <c r="T163" s="99"/>
      <c r="U163" s="219" t="str">
        <f>IF(B163="","",IFERROR(VLOOKUP(B163,'Bug Tracker'!$A:$L,10,FALSE),""))</f>
        <v/>
      </c>
      <c r="V163" s="220"/>
      <c r="W163" s="73"/>
      <c r="X163" s="91"/>
      <c r="Y163" s="100"/>
    </row>
    <row r="164" spans="1:25" ht="20.100000000000001" customHeight="1" x14ac:dyDescent="0.25">
      <c r="A164" s="100"/>
      <c r="B164" s="95"/>
      <c r="C164" s="112"/>
      <c r="D164" s="221" t="str">
        <f>IF(B164="","",IFERROR(VLOOKUP(B164,'Bug Tracker'!$A:$L,2,FALSE),"Not Found"))</f>
        <v/>
      </c>
      <c r="E164" s="222"/>
      <c r="F164" s="222"/>
      <c r="G164" s="222"/>
      <c r="H164" s="222"/>
      <c r="I164" s="223"/>
      <c r="J164" s="107"/>
      <c r="K164" s="213" t="str">
        <f>IF(B164="","",IFERROR(VLOOKUP(B164,'Bug Tracker'!$A:$L,3,FALSE),""))</f>
        <v/>
      </c>
      <c r="L164" s="101"/>
      <c r="M164" s="214" t="str">
        <f>IF(B164="","",IFERROR(VLOOKUP(B164,'Bug Tracker'!$A:$L,4,FALSE),""))</f>
        <v/>
      </c>
      <c r="N164" s="101"/>
      <c r="O164" s="214" t="str">
        <f>IF(B164="","",IFERROR(VLOOKUP(B164,'Bug Tracker'!$A:$L,5,FALSE),""))</f>
        <v/>
      </c>
      <c r="P164" s="101"/>
      <c r="Q164" s="96" t="str">
        <f>IF(B164="","",IFERROR(VLOOKUP(B164,'Bug Tracker'!$A:$L,6,FALSE),""))</f>
        <v/>
      </c>
      <c r="R164" s="101"/>
      <c r="S164" s="214" t="str">
        <f>IF(B164="","",IFERROR(VLOOKUP(B164,'Bug Tracker'!$A:$L,7,FALSE),""))</f>
        <v/>
      </c>
      <c r="T164" s="102"/>
      <c r="U164" s="219" t="str">
        <f>IF(B164="","",IFERROR(VLOOKUP(B164,'Bug Tracker'!$A:$L,10,FALSE),""))</f>
        <v/>
      </c>
      <c r="V164" s="220"/>
      <c r="W164" s="73"/>
      <c r="X164" s="91"/>
      <c r="Y164" s="100"/>
    </row>
    <row r="165" spans="1:25" ht="20.100000000000001" customHeight="1" x14ac:dyDescent="0.25">
      <c r="A165" s="100"/>
      <c r="B165" s="92"/>
      <c r="C165" s="111"/>
      <c r="D165" s="216" t="str">
        <f>IF(B165="","",IFERROR(VLOOKUP(B165,'Bug Tracker'!$A:$L,2,FALSE),"Not Found"))</f>
        <v/>
      </c>
      <c r="E165" s="217"/>
      <c r="F165" s="217"/>
      <c r="G165" s="217"/>
      <c r="H165" s="217"/>
      <c r="I165" s="218"/>
      <c r="J165" s="106"/>
      <c r="K165" s="208" t="str">
        <f>IF(B165="","",IFERROR(VLOOKUP(B165,'Bug Tracker'!$A:$L,3,FALSE),""))</f>
        <v/>
      </c>
      <c r="L165" s="98"/>
      <c r="M165" s="209" t="str">
        <f>IF(B165="","",IFERROR(VLOOKUP(B165,'Bug Tracker'!$A:$L,4,FALSE),""))</f>
        <v/>
      </c>
      <c r="N165" s="98"/>
      <c r="O165" s="209" t="str">
        <f>IF(B165="","",IFERROR(VLOOKUP(B165,'Bug Tracker'!$A:$L,5,FALSE),""))</f>
        <v/>
      </c>
      <c r="P165" s="98"/>
      <c r="Q165" s="93" t="str">
        <f>IF(B165="","",IFERROR(VLOOKUP(B165,'Bug Tracker'!$A:$L,6,FALSE),""))</f>
        <v/>
      </c>
      <c r="R165" s="98"/>
      <c r="S165" s="209" t="str">
        <f>IF(B165="","",IFERROR(VLOOKUP(B165,'Bug Tracker'!$A:$L,7,FALSE),""))</f>
        <v/>
      </c>
      <c r="T165" s="99"/>
      <c r="U165" s="219" t="str">
        <f>IF(B165="","",IFERROR(VLOOKUP(B165,'Bug Tracker'!$A:$L,10,FALSE),""))</f>
        <v/>
      </c>
      <c r="V165" s="220"/>
      <c r="W165" s="73"/>
      <c r="X165" s="91"/>
      <c r="Y165" s="100"/>
    </row>
    <row r="166" spans="1:25" ht="20.100000000000001" customHeight="1" x14ac:dyDescent="0.25">
      <c r="A166" s="100"/>
      <c r="B166" s="95"/>
      <c r="C166" s="112"/>
      <c r="D166" s="221" t="str">
        <f>IF(B166="","",IFERROR(VLOOKUP(B166,'Bug Tracker'!$A:$L,2,FALSE),"Not Found"))</f>
        <v/>
      </c>
      <c r="E166" s="222"/>
      <c r="F166" s="222"/>
      <c r="G166" s="222"/>
      <c r="H166" s="222"/>
      <c r="I166" s="223"/>
      <c r="J166" s="107"/>
      <c r="K166" s="213" t="str">
        <f>IF(B166="","",IFERROR(VLOOKUP(B166,'Bug Tracker'!$A:$L,3,FALSE),""))</f>
        <v/>
      </c>
      <c r="L166" s="101"/>
      <c r="M166" s="214" t="str">
        <f>IF(B166="","",IFERROR(VLOOKUP(B166,'Bug Tracker'!$A:$L,4,FALSE),""))</f>
        <v/>
      </c>
      <c r="N166" s="101"/>
      <c r="O166" s="214" t="str">
        <f>IF(B166="","",IFERROR(VLOOKUP(B166,'Bug Tracker'!$A:$L,5,FALSE),""))</f>
        <v/>
      </c>
      <c r="P166" s="101"/>
      <c r="Q166" s="96" t="str">
        <f>IF(B166="","",IFERROR(VLOOKUP(B166,'Bug Tracker'!$A:$L,6,FALSE),""))</f>
        <v/>
      </c>
      <c r="R166" s="101"/>
      <c r="S166" s="214" t="str">
        <f>IF(B166="","",IFERROR(VLOOKUP(B166,'Bug Tracker'!$A:$L,7,FALSE),""))</f>
        <v/>
      </c>
      <c r="T166" s="102"/>
      <c r="U166" s="219" t="str">
        <f>IF(B166="","",IFERROR(VLOOKUP(B166,'Bug Tracker'!$A:$L,10,FALSE),""))</f>
        <v/>
      </c>
      <c r="V166" s="220"/>
      <c r="W166" s="73"/>
      <c r="X166" s="91"/>
      <c r="Y166" s="100"/>
    </row>
    <row r="167" spans="1:25" ht="20.100000000000001" customHeight="1" x14ac:dyDescent="0.25">
      <c r="A167" s="100"/>
      <c r="B167" s="92"/>
      <c r="C167" s="111"/>
      <c r="D167" s="216" t="str">
        <f>IF(B167="","",IFERROR(VLOOKUP(B167,'Bug Tracker'!$A:$L,2,FALSE),"Not Found"))</f>
        <v/>
      </c>
      <c r="E167" s="217"/>
      <c r="F167" s="217"/>
      <c r="G167" s="217"/>
      <c r="H167" s="217"/>
      <c r="I167" s="218"/>
      <c r="J167" s="106"/>
      <c r="K167" s="208" t="str">
        <f>IF(B167="","",IFERROR(VLOOKUP(B167,'Bug Tracker'!$A:$L,3,FALSE),""))</f>
        <v/>
      </c>
      <c r="L167" s="98"/>
      <c r="M167" s="209" t="str">
        <f>IF(B167="","",IFERROR(VLOOKUP(B167,'Bug Tracker'!$A:$L,4,FALSE),""))</f>
        <v/>
      </c>
      <c r="N167" s="98"/>
      <c r="O167" s="209" t="str">
        <f>IF(B167="","",IFERROR(VLOOKUP(B167,'Bug Tracker'!$A:$L,5,FALSE),""))</f>
        <v/>
      </c>
      <c r="P167" s="98"/>
      <c r="Q167" s="93" t="str">
        <f>IF(B167="","",IFERROR(VLOOKUP(B167,'Bug Tracker'!$A:$L,6,FALSE),""))</f>
        <v/>
      </c>
      <c r="R167" s="98"/>
      <c r="S167" s="209" t="str">
        <f>IF(B167="","",IFERROR(VLOOKUP(B167,'Bug Tracker'!$A:$L,7,FALSE),""))</f>
        <v/>
      </c>
      <c r="T167" s="99"/>
      <c r="U167" s="219" t="str">
        <f>IF(B167="","",IFERROR(VLOOKUP(B167,'Bug Tracker'!$A:$L,10,FALSE),""))</f>
        <v/>
      </c>
      <c r="V167" s="220"/>
      <c r="W167" s="73"/>
      <c r="X167" s="91"/>
      <c r="Y167" s="100"/>
    </row>
    <row r="168" spans="1:25" ht="20.100000000000001" customHeight="1" x14ac:dyDescent="0.25">
      <c r="A168" s="100"/>
      <c r="B168" s="95"/>
      <c r="C168" s="112"/>
      <c r="D168" s="221" t="str">
        <f>IF(B168="","",IFERROR(VLOOKUP(B168,'Bug Tracker'!$A:$L,2,FALSE),"Not Found"))</f>
        <v/>
      </c>
      <c r="E168" s="222"/>
      <c r="F168" s="222"/>
      <c r="G168" s="222"/>
      <c r="H168" s="222"/>
      <c r="I168" s="223"/>
      <c r="J168" s="107"/>
      <c r="K168" s="213" t="str">
        <f>IF(B168="","",IFERROR(VLOOKUP(B168,'Bug Tracker'!$A:$L,3,FALSE),""))</f>
        <v/>
      </c>
      <c r="L168" s="101"/>
      <c r="M168" s="214" t="str">
        <f>IF(B168="","",IFERROR(VLOOKUP(B168,'Bug Tracker'!$A:$L,4,FALSE),""))</f>
        <v/>
      </c>
      <c r="N168" s="101"/>
      <c r="O168" s="214" t="str">
        <f>IF(B168="","",IFERROR(VLOOKUP(B168,'Bug Tracker'!$A:$L,5,FALSE),""))</f>
        <v/>
      </c>
      <c r="P168" s="101"/>
      <c r="Q168" s="96" t="str">
        <f>IF(B168="","",IFERROR(VLOOKUP(B168,'Bug Tracker'!$A:$L,6,FALSE),""))</f>
        <v/>
      </c>
      <c r="R168" s="101"/>
      <c r="S168" s="214" t="str">
        <f>IF(B168="","",IFERROR(VLOOKUP(B168,'Bug Tracker'!$A:$L,7,FALSE),""))</f>
        <v/>
      </c>
      <c r="T168" s="102"/>
      <c r="U168" s="219" t="str">
        <f>IF(B168="","",IFERROR(VLOOKUP(B168,'Bug Tracker'!$A:$L,10,FALSE),""))</f>
        <v/>
      </c>
      <c r="V168" s="220"/>
      <c r="W168" s="73"/>
      <c r="X168" s="91"/>
      <c r="Y168" s="100"/>
    </row>
    <row r="169" spans="1:25" ht="20.100000000000001" customHeight="1" x14ac:dyDescent="0.25">
      <c r="A169" s="100"/>
      <c r="B169" s="92"/>
      <c r="C169" s="111"/>
      <c r="D169" s="216" t="str">
        <f>IF(B169="","",IFERROR(VLOOKUP(B169,'Bug Tracker'!$A:$L,2,FALSE),"Not Found"))</f>
        <v/>
      </c>
      <c r="E169" s="217"/>
      <c r="F169" s="217"/>
      <c r="G169" s="217"/>
      <c r="H169" s="217"/>
      <c r="I169" s="218"/>
      <c r="J169" s="106"/>
      <c r="K169" s="208" t="str">
        <f>IF(B169="","",IFERROR(VLOOKUP(B169,'Bug Tracker'!$A:$L,3,FALSE),""))</f>
        <v/>
      </c>
      <c r="L169" s="98"/>
      <c r="M169" s="209" t="str">
        <f>IF(B169="","",IFERROR(VLOOKUP(B169,'Bug Tracker'!$A:$L,4,FALSE),""))</f>
        <v/>
      </c>
      <c r="N169" s="98"/>
      <c r="O169" s="209" t="str">
        <f>IF(B169="","",IFERROR(VLOOKUP(B169,'Bug Tracker'!$A:$L,5,FALSE),""))</f>
        <v/>
      </c>
      <c r="P169" s="98"/>
      <c r="Q169" s="93" t="str">
        <f>IF(B169="","",IFERROR(VLOOKUP(B169,'Bug Tracker'!$A:$L,6,FALSE),""))</f>
        <v/>
      </c>
      <c r="R169" s="98"/>
      <c r="S169" s="209" t="str">
        <f>IF(B169="","",IFERROR(VLOOKUP(B169,'Bug Tracker'!$A:$L,7,FALSE),""))</f>
        <v/>
      </c>
      <c r="T169" s="99"/>
      <c r="U169" s="219" t="str">
        <f>IF(B169="","",IFERROR(VLOOKUP(B169,'Bug Tracker'!$A:$L,10,FALSE),""))</f>
        <v/>
      </c>
      <c r="V169" s="220"/>
      <c r="W169" s="73"/>
      <c r="X169" s="91"/>
      <c r="Y169" s="100"/>
    </row>
    <row r="170" spans="1:25" ht="20.100000000000001" customHeight="1" x14ac:dyDescent="0.25">
      <c r="A170" s="100"/>
      <c r="B170" s="95"/>
      <c r="C170" s="112"/>
      <c r="D170" s="221" t="str">
        <f>IF(B170="","",IFERROR(VLOOKUP(B170,'Bug Tracker'!$A:$L,2,FALSE),"Not Found"))</f>
        <v/>
      </c>
      <c r="E170" s="222"/>
      <c r="F170" s="222"/>
      <c r="G170" s="222"/>
      <c r="H170" s="222"/>
      <c r="I170" s="223"/>
      <c r="J170" s="107"/>
      <c r="K170" s="213" t="str">
        <f>IF(B170="","",IFERROR(VLOOKUP(B170,'Bug Tracker'!$A:$L,3,FALSE),""))</f>
        <v/>
      </c>
      <c r="L170" s="101"/>
      <c r="M170" s="214" t="str">
        <f>IF(B170="","",IFERROR(VLOOKUP(B170,'Bug Tracker'!$A:$L,4,FALSE),""))</f>
        <v/>
      </c>
      <c r="N170" s="101"/>
      <c r="O170" s="214" t="str">
        <f>IF(B170="","",IFERROR(VLOOKUP(B170,'Bug Tracker'!$A:$L,5,FALSE),""))</f>
        <v/>
      </c>
      <c r="P170" s="101"/>
      <c r="Q170" s="96" t="str">
        <f>IF(B170="","",IFERROR(VLOOKUP(B170,'Bug Tracker'!$A:$L,6,FALSE),""))</f>
        <v/>
      </c>
      <c r="R170" s="101"/>
      <c r="S170" s="214" t="str">
        <f>IF(B170="","",IFERROR(VLOOKUP(B170,'Bug Tracker'!$A:$L,7,FALSE),""))</f>
        <v/>
      </c>
      <c r="T170" s="102"/>
      <c r="U170" s="219" t="str">
        <f>IF(B170="","",IFERROR(VLOOKUP(B170,'Bug Tracker'!$A:$L,10,FALSE),""))</f>
        <v/>
      </c>
      <c r="V170" s="220"/>
      <c r="W170" s="73"/>
      <c r="X170" s="91"/>
      <c r="Y170" s="100"/>
    </row>
    <row r="171" spans="1:25" ht="20.100000000000001" customHeight="1" x14ac:dyDescent="0.25">
      <c r="A171" s="100"/>
      <c r="B171" s="92"/>
      <c r="C171" s="111"/>
      <c r="D171" s="216" t="str">
        <f>IF(B171="","",IFERROR(VLOOKUP(B171,'Bug Tracker'!$A:$L,2,FALSE),"Not Found"))</f>
        <v/>
      </c>
      <c r="E171" s="217"/>
      <c r="F171" s="217"/>
      <c r="G171" s="217"/>
      <c r="H171" s="217"/>
      <c r="I171" s="218"/>
      <c r="J171" s="106"/>
      <c r="K171" s="208" t="str">
        <f>IF(B171="","",IFERROR(VLOOKUP(B171,'Bug Tracker'!$A:$L,3,FALSE),""))</f>
        <v/>
      </c>
      <c r="L171" s="98"/>
      <c r="M171" s="209" t="str">
        <f>IF(B171="","",IFERROR(VLOOKUP(B171,'Bug Tracker'!$A:$L,4,FALSE),""))</f>
        <v/>
      </c>
      <c r="N171" s="98"/>
      <c r="O171" s="209" t="str">
        <f>IF(B171="","",IFERROR(VLOOKUP(B171,'Bug Tracker'!$A:$L,5,FALSE),""))</f>
        <v/>
      </c>
      <c r="P171" s="98"/>
      <c r="Q171" s="93" t="str">
        <f>IF(B171="","",IFERROR(VLOOKUP(B171,'Bug Tracker'!$A:$L,6,FALSE),""))</f>
        <v/>
      </c>
      <c r="R171" s="98"/>
      <c r="S171" s="209" t="str">
        <f>IF(B171="","",IFERROR(VLOOKUP(B171,'Bug Tracker'!$A:$L,7,FALSE),""))</f>
        <v/>
      </c>
      <c r="T171" s="99"/>
      <c r="U171" s="219" t="str">
        <f>IF(B171="","",IFERROR(VLOOKUP(B171,'Bug Tracker'!$A:$L,10,FALSE),""))</f>
        <v/>
      </c>
      <c r="V171" s="220"/>
      <c r="W171" s="73"/>
      <c r="X171" s="91"/>
      <c r="Y171" s="100"/>
    </row>
    <row r="172" spans="1:25" ht="20.100000000000001" customHeight="1" x14ac:dyDescent="0.25">
      <c r="A172" s="100"/>
      <c r="B172" s="95"/>
      <c r="C172" s="112"/>
      <c r="D172" s="221" t="str">
        <f>IF(B172="","",IFERROR(VLOOKUP(B172,'Bug Tracker'!$A:$L,2,FALSE),"Not Found"))</f>
        <v/>
      </c>
      <c r="E172" s="222"/>
      <c r="F172" s="222"/>
      <c r="G172" s="222"/>
      <c r="H172" s="222"/>
      <c r="I172" s="223"/>
      <c r="J172" s="107"/>
      <c r="K172" s="213" t="str">
        <f>IF(B172="","",IFERROR(VLOOKUP(B172,'Bug Tracker'!$A:$L,3,FALSE),""))</f>
        <v/>
      </c>
      <c r="L172" s="101"/>
      <c r="M172" s="214" t="str">
        <f>IF(B172="","",IFERROR(VLOOKUP(B172,'Bug Tracker'!$A:$L,4,FALSE),""))</f>
        <v/>
      </c>
      <c r="N172" s="101"/>
      <c r="O172" s="214" t="str">
        <f>IF(B172="","",IFERROR(VLOOKUP(B172,'Bug Tracker'!$A:$L,5,FALSE),""))</f>
        <v/>
      </c>
      <c r="P172" s="101"/>
      <c r="Q172" s="96" t="str">
        <f>IF(B172="","",IFERROR(VLOOKUP(B172,'Bug Tracker'!$A:$L,6,FALSE),""))</f>
        <v/>
      </c>
      <c r="R172" s="101"/>
      <c r="S172" s="214" t="str">
        <f>IF(B172="","",IFERROR(VLOOKUP(B172,'Bug Tracker'!$A:$L,7,FALSE),""))</f>
        <v/>
      </c>
      <c r="T172" s="102"/>
      <c r="U172" s="219" t="str">
        <f>IF(B172="","",IFERROR(VLOOKUP(B172,'Bug Tracker'!$A:$L,10,FALSE),""))</f>
        <v/>
      </c>
      <c r="V172" s="220"/>
      <c r="W172" s="73"/>
      <c r="X172" s="91"/>
      <c r="Y172" s="100"/>
    </row>
    <row r="173" spans="1:25" ht="20.100000000000001" customHeight="1" x14ac:dyDescent="0.25">
      <c r="A173" s="100"/>
      <c r="B173" s="92"/>
      <c r="C173" s="111"/>
      <c r="D173" s="216" t="str">
        <f>IF(B173="","",IFERROR(VLOOKUP(B173,'Bug Tracker'!$A:$L,2,FALSE),"Not Found"))</f>
        <v/>
      </c>
      <c r="E173" s="217"/>
      <c r="F173" s="217"/>
      <c r="G173" s="217"/>
      <c r="H173" s="217"/>
      <c r="I173" s="218"/>
      <c r="J173" s="106"/>
      <c r="K173" s="208" t="str">
        <f>IF(B173="","",IFERROR(VLOOKUP(B173,'Bug Tracker'!$A:$L,3,FALSE),""))</f>
        <v/>
      </c>
      <c r="L173" s="98"/>
      <c r="M173" s="209" t="str">
        <f>IF(B173="","",IFERROR(VLOOKUP(B173,'Bug Tracker'!$A:$L,4,FALSE),""))</f>
        <v/>
      </c>
      <c r="N173" s="98"/>
      <c r="O173" s="209" t="str">
        <f>IF(B173="","",IFERROR(VLOOKUP(B173,'Bug Tracker'!$A:$L,5,FALSE),""))</f>
        <v/>
      </c>
      <c r="P173" s="98"/>
      <c r="Q173" s="93" t="str">
        <f>IF(B173="","",IFERROR(VLOOKUP(B173,'Bug Tracker'!$A:$L,6,FALSE),""))</f>
        <v/>
      </c>
      <c r="R173" s="98"/>
      <c r="S173" s="209" t="str">
        <f>IF(B173="","",IFERROR(VLOOKUP(B173,'Bug Tracker'!$A:$L,7,FALSE),""))</f>
        <v/>
      </c>
      <c r="T173" s="99"/>
      <c r="U173" s="219" t="str">
        <f>IF(B173="","",IFERROR(VLOOKUP(B173,'Bug Tracker'!$A:$L,10,FALSE),""))</f>
        <v/>
      </c>
      <c r="V173" s="220"/>
      <c r="W173" s="73"/>
      <c r="X173" s="91"/>
      <c r="Y173" s="100"/>
    </row>
    <row r="174" spans="1:25" ht="20.100000000000001" customHeight="1" x14ac:dyDescent="0.25">
      <c r="A174" s="100"/>
      <c r="B174" s="95"/>
      <c r="C174" s="112"/>
      <c r="D174" s="221" t="str">
        <f>IF(B174="","",IFERROR(VLOOKUP(B174,'Bug Tracker'!$A:$L,2,FALSE),"Not Found"))</f>
        <v/>
      </c>
      <c r="E174" s="222"/>
      <c r="F174" s="222"/>
      <c r="G174" s="222"/>
      <c r="H174" s="222"/>
      <c r="I174" s="223"/>
      <c r="J174" s="107"/>
      <c r="K174" s="213" t="str">
        <f>IF(B174="","",IFERROR(VLOOKUP(B174,'Bug Tracker'!$A:$L,3,FALSE),""))</f>
        <v/>
      </c>
      <c r="L174" s="101"/>
      <c r="M174" s="214" t="str">
        <f>IF(B174="","",IFERROR(VLOOKUP(B174,'Bug Tracker'!$A:$L,4,FALSE),""))</f>
        <v/>
      </c>
      <c r="N174" s="101"/>
      <c r="O174" s="214" t="str">
        <f>IF(B174="","",IFERROR(VLOOKUP(B174,'Bug Tracker'!$A:$L,5,FALSE),""))</f>
        <v/>
      </c>
      <c r="P174" s="101"/>
      <c r="Q174" s="96" t="str">
        <f>IF(B174="","",IFERROR(VLOOKUP(B174,'Bug Tracker'!$A:$L,6,FALSE),""))</f>
        <v/>
      </c>
      <c r="R174" s="101"/>
      <c r="S174" s="214" t="str">
        <f>IF(B174="","",IFERROR(VLOOKUP(B174,'Bug Tracker'!$A:$L,7,FALSE),""))</f>
        <v/>
      </c>
      <c r="T174" s="102"/>
      <c r="U174" s="219" t="str">
        <f>IF(B174="","",IFERROR(VLOOKUP(B174,'Bug Tracker'!$A:$L,10,FALSE),""))</f>
        <v/>
      </c>
      <c r="V174" s="220"/>
      <c r="W174" s="73"/>
      <c r="X174" s="91"/>
      <c r="Y174" s="100"/>
    </row>
    <row r="175" spans="1:25" ht="20.100000000000001" customHeight="1" x14ac:dyDescent="0.25">
      <c r="A175" s="100"/>
      <c r="B175" s="92"/>
      <c r="C175" s="111"/>
      <c r="D175" s="216" t="str">
        <f>IF(B175="","",IFERROR(VLOOKUP(B175,'Bug Tracker'!$A:$L,2,FALSE),"Not Found"))</f>
        <v/>
      </c>
      <c r="E175" s="217"/>
      <c r="F175" s="217"/>
      <c r="G175" s="217"/>
      <c r="H175" s="217"/>
      <c r="I175" s="218"/>
      <c r="J175" s="106"/>
      <c r="K175" s="208" t="str">
        <f>IF(B175="","",IFERROR(VLOOKUP(B175,'Bug Tracker'!$A:$L,3,FALSE),""))</f>
        <v/>
      </c>
      <c r="L175" s="98"/>
      <c r="M175" s="209" t="str">
        <f>IF(B175="","",IFERROR(VLOOKUP(B175,'Bug Tracker'!$A:$L,4,FALSE),""))</f>
        <v/>
      </c>
      <c r="N175" s="98"/>
      <c r="O175" s="209" t="str">
        <f>IF(B175="","",IFERROR(VLOOKUP(B175,'Bug Tracker'!$A:$L,5,FALSE),""))</f>
        <v/>
      </c>
      <c r="P175" s="98"/>
      <c r="Q175" s="93" t="str">
        <f>IF(B175="","",IFERROR(VLOOKUP(B175,'Bug Tracker'!$A:$L,6,FALSE),""))</f>
        <v/>
      </c>
      <c r="R175" s="98"/>
      <c r="S175" s="209" t="str">
        <f>IF(B175="","",IFERROR(VLOOKUP(B175,'Bug Tracker'!$A:$L,7,FALSE),""))</f>
        <v/>
      </c>
      <c r="T175" s="99"/>
      <c r="U175" s="219" t="str">
        <f>IF(B175="","",IFERROR(VLOOKUP(B175,'Bug Tracker'!$A:$L,10,FALSE),""))</f>
        <v/>
      </c>
      <c r="V175" s="220"/>
      <c r="W175" s="73"/>
      <c r="X175" s="91"/>
      <c r="Y175" s="100"/>
    </row>
    <row r="176" spans="1:25" ht="20.100000000000001" customHeight="1" x14ac:dyDescent="0.25">
      <c r="A176" s="100"/>
      <c r="B176" s="95"/>
      <c r="C176" s="112"/>
      <c r="D176" s="221" t="str">
        <f>IF(B176="","",IFERROR(VLOOKUP(B176,'Bug Tracker'!$A:$L,2,FALSE),"Not Found"))</f>
        <v/>
      </c>
      <c r="E176" s="222"/>
      <c r="F176" s="222"/>
      <c r="G176" s="222"/>
      <c r="H176" s="222"/>
      <c r="I176" s="223"/>
      <c r="J176" s="107"/>
      <c r="K176" s="213" t="str">
        <f>IF(B176="","",IFERROR(VLOOKUP(B176,'Bug Tracker'!$A:$L,3,FALSE),""))</f>
        <v/>
      </c>
      <c r="L176" s="101"/>
      <c r="M176" s="214" t="str">
        <f>IF(B176="","",IFERROR(VLOOKUP(B176,'Bug Tracker'!$A:$L,4,FALSE),""))</f>
        <v/>
      </c>
      <c r="N176" s="101"/>
      <c r="O176" s="214" t="str">
        <f>IF(B176="","",IFERROR(VLOOKUP(B176,'Bug Tracker'!$A:$L,5,FALSE),""))</f>
        <v/>
      </c>
      <c r="P176" s="101"/>
      <c r="Q176" s="96" t="str">
        <f>IF(B176="","",IFERROR(VLOOKUP(B176,'Bug Tracker'!$A:$L,6,FALSE),""))</f>
        <v/>
      </c>
      <c r="R176" s="101"/>
      <c r="S176" s="214" t="str">
        <f>IF(B176="","",IFERROR(VLOOKUP(B176,'Bug Tracker'!$A:$L,7,FALSE),""))</f>
        <v/>
      </c>
      <c r="T176" s="102"/>
      <c r="U176" s="219" t="str">
        <f>IF(B176="","",IFERROR(VLOOKUP(B176,'Bug Tracker'!$A:$L,10,FALSE),""))</f>
        <v/>
      </c>
      <c r="V176" s="220"/>
      <c r="W176" s="73"/>
      <c r="X176" s="91"/>
      <c r="Y176" s="100"/>
    </row>
    <row r="177" spans="1:25" ht="20.100000000000001" customHeight="1" x14ac:dyDescent="0.25">
      <c r="A177" s="100"/>
      <c r="B177" s="92"/>
      <c r="C177" s="111"/>
      <c r="D177" s="216" t="str">
        <f>IF(B177="","",IFERROR(VLOOKUP(B177,'Bug Tracker'!$A:$L,2,FALSE),"Not Found"))</f>
        <v/>
      </c>
      <c r="E177" s="217"/>
      <c r="F177" s="217"/>
      <c r="G177" s="217"/>
      <c r="H177" s="217"/>
      <c r="I177" s="218"/>
      <c r="J177" s="106"/>
      <c r="K177" s="208" t="str">
        <f>IF(B177="","",IFERROR(VLOOKUP(B177,'Bug Tracker'!$A:$L,3,FALSE),""))</f>
        <v/>
      </c>
      <c r="L177" s="98"/>
      <c r="M177" s="209" t="str">
        <f>IF(B177="","",IFERROR(VLOOKUP(B177,'Bug Tracker'!$A:$L,4,FALSE),""))</f>
        <v/>
      </c>
      <c r="N177" s="98"/>
      <c r="O177" s="209" t="str">
        <f>IF(B177="","",IFERROR(VLOOKUP(B177,'Bug Tracker'!$A:$L,5,FALSE),""))</f>
        <v/>
      </c>
      <c r="P177" s="98"/>
      <c r="Q177" s="93" t="str">
        <f>IF(B177="","",IFERROR(VLOOKUP(B177,'Bug Tracker'!$A:$L,6,FALSE),""))</f>
        <v/>
      </c>
      <c r="R177" s="98"/>
      <c r="S177" s="209" t="str">
        <f>IF(B177="","",IFERROR(VLOOKUP(B177,'Bug Tracker'!$A:$L,7,FALSE),""))</f>
        <v/>
      </c>
      <c r="T177" s="99"/>
      <c r="U177" s="219" t="str">
        <f>IF(B177="","",IFERROR(VLOOKUP(B177,'Bug Tracker'!$A:$L,10,FALSE),""))</f>
        <v/>
      </c>
      <c r="V177" s="220"/>
      <c r="W177" s="73"/>
      <c r="X177" s="91"/>
      <c r="Y177" s="100"/>
    </row>
    <row r="178" spans="1:25" ht="20.100000000000001" customHeight="1" x14ac:dyDescent="0.25">
      <c r="A178" s="100"/>
      <c r="B178" s="95"/>
      <c r="C178" s="112"/>
      <c r="D178" s="221" t="str">
        <f>IF(B178="","",IFERROR(VLOOKUP(B178,'Bug Tracker'!$A:$L,2,FALSE),"Not Found"))</f>
        <v/>
      </c>
      <c r="E178" s="222"/>
      <c r="F178" s="222"/>
      <c r="G178" s="222"/>
      <c r="H178" s="222"/>
      <c r="I178" s="223"/>
      <c r="J178" s="107"/>
      <c r="K178" s="213" t="str">
        <f>IF(B178="","",IFERROR(VLOOKUP(B178,'Bug Tracker'!$A:$L,3,FALSE),""))</f>
        <v/>
      </c>
      <c r="L178" s="101"/>
      <c r="M178" s="214" t="str">
        <f>IF(B178="","",IFERROR(VLOOKUP(B178,'Bug Tracker'!$A:$L,4,FALSE),""))</f>
        <v/>
      </c>
      <c r="N178" s="101"/>
      <c r="O178" s="214" t="str">
        <f>IF(B178="","",IFERROR(VLOOKUP(B178,'Bug Tracker'!$A:$L,5,FALSE),""))</f>
        <v/>
      </c>
      <c r="P178" s="101"/>
      <c r="Q178" s="96" t="str">
        <f>IF(B178="","",IFERROR(VLOOKUP(B178,'Bug Tracker'!$A:$L,6,FALSE),""))</f>
        <v/>
      </c>
      <c r="R178" s="101"/>
      <c r="S178" s="214" t="str">
        <f>IF(B178="","",IFERROR(VLOOKUP(B178,'Bug Tracker'!$A:$L,7,FALSE),""))</f>
        <v/>
      </c>
      <c r="T178" s="102"/>
      <c r="U178" s="219" t="str">
        <f>IF(B178="","",IFERROR(VLOOKUP(B178,'Bug Tracker'!$A:$L,10,FALSE),""))</f>
        <v/>
      </c>
      <c r="V178" s="220"/>
      <c r="W178" s="73"/>
      <c r="X178" s="91"/>
      <c r="Y178" s="100"/>
    </row>
    <row r="179" spans="1:25" ht="20.100000000000001" customHeight="1" x14ac:dyDescent="0.25">
      <c r="A179" s="100"/>
      <c r="B179" s="92"/>
      <c r="C179" s="111"/>
      <c r="D179" s="216" t="str">
        <f>IF(B179="","",IFERROR(VLOOKUP(B179,'Bug Tracker'!$A:$L,2,FALSE),"Not Found"))</f>
        <v/>
      </c>
      <c r="E179" s="217"/>
      <c r="F179" s="217"/>
      <c r="G179" s="217"/>
      <c r="H179" s="217"/>
      <c r="I179" s="218"/>
      <c r="J179" s="106"/>
      <c r="K179" s="208" t="str">
        <f>IF(B179="","",IFERROR(VLOOKUP(B179,'Bug Tracker'!$A:$L,3,FALSE),""))</f>
        <v/>
      </c>
      <c r="L179" s="98"/>
      <c r="M179" s="209" t="str">
        <f>IF(B179="","",IFERROR(VLOOKUP(B179,'Bug Tracker'!$A:$L,4,FALSE),""))</f>
        <v/>
      </c>
      <c r="N179" s="98"/>
      <c r="O179" s="209" t="str">
        <f>IF(B179="","",IFERROR(VLOOKUP(B179,'Bug Tracker'!$A:$L,5,FALSE),""))</f>
        <v/>
      </c>
      <c r="P179" s="98"/>
      <c r="Q179" s="93" t="str">
        <f>IF(B179="","",IFERROR(VLOOKUP(B179,'Bug Tracker'!$A:$L,6,FALSE),""))</f>
        <v/>
      </c>
      <c r="R179" s="98"/>
      <c r="S179" s="209" t="str">
        <f>IF(B179="","",IFERROR(VLOOKUP(B179,'Bug Tracker'!$A:$L,7,FALSE),""))</f>
        <v/>
      </c>
      <c r="T179" s="99"/>
      <c r="U179" s="219" t="str">
        <f>IF(B179="","",IFERROR(VLOOKUP(B179,'Bug Tracker'!$A:$L,10,FALSE),""))</f>
        <v/>
      </c>
      <c r="V179" s="220"/>
      <c r="W179" s="73"/>
      <c r="X179" s="91"/>
      <c r="Y179" s="100"/>
    </row>
    <row r="180" spans="1:25" ht="20.100000000000001" customHeight="1" x14ac:dyDescent="0.25">
      <c r="A180" s="100"/>
      <c r="B180" s="95"/>
      <c r="C180" s="112"/>
      <c r="D180" s="221" t="str">
        <f>IF(B180="","",IFERROR(VLOOKUP(B180,'Bug Tracker'!$A:$L,2,FALSE),"Not Found"))</f>
        <v/>
      </c>
      <c r="E180" s="222"/>
      <c r="F180" s="222"/>
      <c r="G180" s="222"/>
      <c r="H180" s="222"/>
      <c r="I180" s="223"/>
      <c r="J180" s="107"/>
      <c r="K180" s="213" t="str">
        <f>IF(B180="","",IFERROR(VLOOKUP(B180,'Bug Tracker'!$A:$L,3,FALSE),""))</f>
        <v/>
      </c>
      <c r="L180" s="101"/>
      <c r="M180" s="214" t="str">
        <f>IF(B180="","",IFERROR(VLOOKUP(B180,'Bug Tracker'!$A:$L,4,FALSE),""))</f>
        <v/>
      </c>
      <c r="N180" s="101"/>
      <c r="O180" s="214" t="str">
        <f>IF(B180="","",IFERROR(VLOOKUP(B180,'Bug Tracker'!$A:$L,5,FALSE),""))</f>
        <v/>
      </c>
      <c r="P180" s="101"/>
      <c r="Q180" s="96" t="str">
        <f>IF(B180="","",IFERROR(VLOOKUP(B180,'Bug Tracker'!$A:$L,6,FALSE),""))</f>
        <v/>
      </c>
      <c r="R180" s="101"/>
      <c r="S180" s="214" t="str">
        <f>IF(B180="","",IFERROR(VLOOKUP(B180,'Bug Tracker'!$A:$L,7,FALSE),""))</f>
        <v/>
      </c>
      <c r="T180" s="102"/>
      <c r="U180" s="219" t="str">
        <f>IF(B180="","",IFERROR(VLOOKUP(B180,'Bug Tracker'!$A:$L,10,FALSE),""))</f>
        <v/>
      </c>
      <c r="V180" s="220"/>
      <c r="W180" s="73"/>
      <c r="X180" s="91"/>
      <c r="Y180" s="100"/>
    </row>
    <row r="181" spans="1:25" ht="20.100000000000001" customHeight="1" x14ac:dyDescent="0.25">
      <c r="A181" s="100"/>
      <c r="B181" s="92"/>
      <c r="C181" s="111"/>
      <c r="D181" s="216" t="str">
        <f>IF(B181="","",IFERROR(VLOOKUP(B181,'Bug Tracker'!$A:$L,2,FALSE),"Not Found"))</f>
        <v/>
      </c>
      <c r="E181" s="217"/>
      <c r="F181" s="217"/>
      <c r="G181" s="217"/>
      <c r="H181" s="217"/>
      <c r="I181" s="218"/>
      <c r="J181" s="106"/>
      <c r="K181" s="208" t="str">
        <f>IF(B181="","",IFERROR(VLOOKUP(B181,'Bug Tracker'!$A:$L,3,FALSE),""))</f>
        <v/>
      </c>
      <c r="L181" s="98"/>
      <c r="M181" s="209" t="str">
        <f>IF(B181="","",IFERROR(VLOOKUP(B181,'Bug Tracker'!$A:$L,4,FALSE),""))</f>
        <v/>
      </c>
      <c r="N181" s="98"/>
      <c r="O181" s="209" t="str">
        <f>IF(B181="","",IFERROR(VLOOKUP(B181,'Bug Tracker'!$A:$L,5,FALSE),""))</f>
        <v/>
      </c>
      <c r="P181" s="98"/>
      <c r="Q181" s="93" t="str">
        <f>IF(B181="","",IFERROR(VLOOKUP(B181,'Bug Tracker'!$A:$L,6,FALSE),""))</f>
        <v/>
      </c>
      <c r="R181" s="98"/>
      <c r="S181" s="209" t="str">
        <f>IF(B181="","",IFERROR(VLOOKUP(B181,'Bug Tracker'!$A:$L,7,FALSE),""))</f>
        <v/>
      </c>
      <c r="T181" s="99"/>
      <c r="U181" s="219" t="str">
        <f>IF(B181="","",IFERROR(VLOOKUP(B181,'Bug Tracker'!$A:$L,10,FALSE),""))</f>
        <v/>
      </c>
      <c r="V181" s="220"/>
      <c r="W181" s="73"/>
      <c r="X181" s="91"/>
      <c r="Y181" s="100"/>
    </row>
    <row r="182" spans="1:25" ht="20.100000000000001" customHeight="1" x14ac:dyDescent="0.25">
      <c r="A182" s="100"/>
      <c r="B182" s="95"/>
      <c r="C182" s="112"/>
      <c r="D182" s="221" t="str">
        <f>IF(B182="","",IFERROR(VLOOKUP(B182,'Bug Tracker'!$A:$L,2,FALSE),"Not Found"))</f>
        <v/>
      </c>
      <c r="E182" s="222"/>
      <c r="F182" s="222"/>
      <c r="G182" s="222"/>
      <c r="H182" s="222"/>
      <c r="I182" s="223"/>
      <c r="J182" s="107"/>
      <c r="K182" s="213" t="str">
        <f>IF(B182="","",IFERROR(VLOOKUP(B182,'Bug Tracker'!$A:$L,3,FALSE),""))</f>
        <v/>
      </c>
      <c r="L182" s="101"/>
      <c r="M182" s="214" t="str">
        <f>IF(B182="","",IFERROR(VLOOKUP(B182,'Bug Tracker'!$A:$L,4,FALSE),""))</f>
        <v/>
      </c>
      <c r="N182" s="101"/>
      <c r="O182" s="214" t="str">
        <f>IF(B182="","",IFERROR(VLOOKUP(B182,'Bug Tracker'!$A:$L,5,FALSE),""))</f>
        <v/>
      </c>
      <c r="P182" s="101"/>
      <c r="Q182" s="96" t="str">
        <f>IF(B182="","",IFERROR(VLOOKUP(B182,'Bug Tracker'!$A:$L,6,FALSE),""))</f>
        <v/>
      </c>
      <c r="R182" s="101"/>
      <c r="S182" s="214" t="str">
        <f>IF(B182="","",IFERROR(VLOOKUP(B182,'Bug Tracker'!$A:$L,7,FALSE),""))</f>
        <v/>
      </c>
      <c r="T182" s="102"/>
      <c r="U182" s="219" t="str">
        <f>IF(B182="","",IFERROR(VLOOKUP(B182,'Bug Tracker'!$A:$L,10,FALSE),""))</f>
        <v/>
      </c>
      <c r="V182" s="220"/>
      <c r="W182" s="73"/>
      <c r="X182" s="91"/>
      <c r="Y182" s="100"/>
    </row>
    <row r="183" spans="1:25" ht="20.100000000000001" customHeight="1" x14ac:dyDescent="0.25">
      <c r="A183" s="100"/>
      <c r="B183" s="92"/>
      <c r="C183" s="111"/>
      <c r="D183" s="216" t="str">
        <f>IF(B183="","",IFERROR(VLOOKUP(B183,'Bug Tracker'!$A:$L,2,FALSE),"Not Found"))</f>
        <v/>
      </c>
      <c r="E183" s="217"/>
      <c r="F183" s="217"/>
      <c r="G183" s="217"/>
      <c r="H183" s="217"/>
      <c r="I183" s="218"/>
      <c r="J183" s="106"/>
      <c r="K183" s="208" t="str">
        <f>IF(B183="","",IFERROR(VLOOKUP(B183,'Bug Tracker'!$A:$L,3,FALSE),""))</f>
        <v/>
      </c>
      <c r="L183" s="98"/>
      <c r="M183" s="209" t="str">
        <f>IF(B183="","",IFERROR(VLOOKUP(B183,'Bug Tracker'!$A:$L,4,FALSE),""))</f>
        <v/>
      </c>
      <c r="N183" s="98"/>
      <c r="O183" s="209" t="str">
        <f>IF(B183="","",IFERROR(VLOOKUP(B183,'Bug Tracker'!$A:$L,5,FALSE),""))</f>
        <v/>
      </c>
      <c r="P183" s="98"/>
      <c r="Q183" s="93" t="str">
        <f>IF(B183="","",IFERROR(VLOOKUP(B183,'Bug Tracker'!$A:$L,6,FALSE),""))</f>
        <v/>
      </c>
      <c r="R183" s="98"/>
      <c r="S183" s="209" t="str">
        <f>IF(B183="","",IFERROR(VLOOKUP(B183,'Bug Tracker'!$A:$L,7,FALSE),""))</f>
        <v/>
      </c>
      <c r="T183" s="99"/>
      <c r="U183" s="219" t="str">
        <f>IF(B183="","",IFERROR(VLOOKUP(B183,'Bug Tracker'!$A:$L,10,FALSE),""))</f>
        <v/>
      </c>
      <c r="V183" s="220"/>
      <c r="W183" s="73"/>
      <c r="X183" s="91"/>
      <c r="Y183" s="100"/>
    </row>
    <row r="184" spans="1:25" ht="20.100000000000001" customHeight="1" thickBot="1" x14ac:dyDescent="0.3">
      <c r="A184" s="100"/>
      <c r="B184" s="103"/>
      <c r="C184" s="113"/>
      <c r="D184" s="224"/>
      <c r="E184" s="225"/>
      <c r="F184" s="225"/>
      <c r="G184" s="225"/>
      <c r="H184" s="225"/>
      <c r="I184" s="226"/>
      <c r="J184" s="108"/>
      <c r="K184" s="227"/>
      <c r="L184" s="104"/>
      <c r="M184" s="228"/>
      <c r="N184" s="104"/>
      <c r="O184" s="228"/>
      <c r="P184" s="104"/>
      <c r="Q184" s="229"/>
      <c r="R184" s="104"/>
      <c r="S184" s="228"/>
      <c r="T184" s="105"/>
      <c r="U184" s="230" t="str">
        <f>IF(B184="","",IFERROR(VLOOKUP(B184,'Bug Tracker'!$A:$L,10,FALSE),""))</f>
        <v/>
      </c>
      <c r="V184" s="231"/>
      <c r="W184" s="73"/>
      <c r="X184" s="91"/>
      <c r="Y184" s="100"/>
    </row>
  </sheetData>
  <sheetProtection sheet="1" objects="1" scenarios="1"/>
  <mergeCells count="243">
    <mergeCell ref="U90:V90"/>
    <mergeCell ref="K84"/>
    <mergeCell ref="U84:V84"/>
    <mergeCell ref="V8:X8"/>
    <mergeCell ref="B29:K29"/>
    <mergeCell ref="J9:L9"/>
    <mergeCell ref="L29:X29"/>
    <mergeCell ref="U85:V85"/>
    <mergeCell ref="R9:T9"/>
    <mergeCell ref="U88:V88"/>
    <mergeCell ref="J8:L8"/>
    <mergeCell ref="R8:T8"/>
    <mergeCell ref="B48:K48"/>
    <mergeCell ref="Q84"/>
    <mergeCell ref="B11:K11"/>
    <mergeCell ref="B84"/>
    <mergeCell ref="B2:X2"/>
    <mergeCell ref="M84"/>
    <mergeCell ref="B6:D6"/>
    <mergeCell ref="V7:X7"/>
    <mergeCell ref="N6:P6"/>
    <mergeCell ref="D84:I84"/>
    <mergeCell ref="B7:D7"/>
    <mergeCell ref="N7:P7"/>
    <mergeCell ref="F6:H6"/>
    <mergeCell ref="F7:H7"/>
    <mergeCell ref="R7:T7"/>
    <mergeCell ref="R6:T6"/>
    <mergeCell ref="B4:X4"/>
    <mergeCell ref="B8:D8"/>
    <mergeCell ref="B65:K65"/>
    <mergeCell ref="L65:X65"/>
    <mergeCell ref="V9:X9"/>
    <mergeCell ref="D87:I87"/>
    <mergeCell ref="F8:H8"/>
    <mergeCell ref="N8:P8"/>
    <mergeCell ref="O84"/>
    <mergeCell ref="S84"/>
    <mergeCell ref="D86:I86"/>
    <mergeCell ref="D94:I94"/>
    <mergeCell ref="J6:L6"/>
    <mergeCell ref="D93:I93"/>
    <mergeCell ref="D92:I92"/>
    <mergeCell ref="U91:V91"/>
    <mergeCell ref="D89:I89"/>
    <mergeCell ref="U94:V94"/>
    <mergeCell ref="U93:V93"/>
    <mergeCell ref="D88:I88"/>
    <mergeCell ref="D85:I85"/>
    <mergeCell ref="D91:I91"/>
    <mergeCell ref="U92:V92"/>
    <mergeCell ref="D90:I90"/>
    <mergeCell ref="U89:V89"/>
    <mergeCell ref="V6:X6"/>
    <mergeCell ref="J7:L7"/>
    <mergeCell ref="B83:X83"/>
    <mergeCell ref="L11:X11"/>
    <mergeCell ref="U87:V87"/>
    <mergeCell ref="L48:X48"/>
    <mergeCell ref="B9:D9"/>
    <mergeCell ref="N9:P9"/>
    <mergeCell ref="F9:H9"/>
    <mergeCell ref="U86:V86"/>
    <mergeCell ref="U100:V100"/>
    <mergeCell ref="U101:V101"/>
    <mergeCell ref="U102:V102"/>
    <mergeCell ref="U103:V103"/>
    <mergeCell ref="U104:V104"/>
    <mergeCell ref="U95:V95"/>
    <mergeCell ref="U96:V96"/>
    <mergeCell ref="U97:V97"/>
    <mergeCell ref="U98:V98"/>
    <mergeCell ref="U99:V99"/>
    <mergeCell ref="U110:V110"/>
    <mergeCell ref="U111:V111"/>
    <mergeCell ref="U112:V112"/>
    <mergeCell ref="U113:V113"/>
    <mergeCell ref="U114:V114"/>
    <mergeCell ref="U105:V105"/>
    <mergeCell ref="U106:V106"/>
    <mergeCell ref="U107:V107"/>
    <mergeCell ref="U108:V108"/>
    <mergeCell ref="U109:V109"/>
    <mergeCell ref="U120:V120"/>
    <mergeCell ref="U121:V121"/>
    <mergeCell ref="U122:V122"/>
    <mergeCell ref="U123:V123"/>
    <mergeCell ref="U124:V124"/>
    <mergeCell ref="U115:V115"/>
    <mergeCell ref="U116:V116"/>
    <mergeCell ref="U117:V117"/>
    <mergeCell ref="U118:V118"/>
    <mergeCell ref="U119:V119"/>
    <mergeCell ref="U130:V130"/>
    <mergeCell ref="U131:V131"/>
    <mergeCell ref="U132:V132"/>
    <mergeCell ref="U133:V133"/>
    <mergeCell ref="U134:V134"/>
    <mergeCell ref="U125:V125"/>
    <mergeCell ref="U126:V126"/>
    <mergeCell ref="U127:V127"/>
    <mergeCell ref="U128:V128"/>
    <mergeCell ref="U129:V129"/>
    <mergeCell ref="U140:V140"/>
    <mergeCell ref="U141:V141"/>
    <mergeCell ref="U142:V142"/>
    <mergeCell ref="U143:V143"/>
    <mergeCell ref="U144:V144"/>
    <mergeCell ref="U135:V135"/>
    <mergeCell ref="U136:V136"/>
    <mergeCell ref="U137:V137"/>
    <mergeCell ref="U138:V138"/>
    <mergeCell ref="U139:V139"/>
    <mergeCell ref="U150:V150"/>
    <mergeCell ref="U151:V151"/>
    <mergeCell ref="U152:V152"/>
    <mergeCell ref="U153:V153"/>
    <mergeCell ref="U154:V154"/>
    <mergeCell ref="U145:V145"/>
    <mergeCell ref="U146:V146"/>
    <mergeCell ref="U147:V147"/>
    <mergeCell ref="U148:V148"/>
    <mergeCell ref="U149:V149"/>
    <mergeCell ref="U160:V160"/>
    <mergeCell ref="U161:V161"/>
    <mergeCell ref="U162:V162"/>
    <mergeCell ref="U163:V163"/>
    <mergeCell ref="U164:V164"/>
    <mergeCell ref="U155:V155"/>
    <mergeCell ref="U156:V156"/>
    <mergeCell ref="U157:V157"/>
    <mergeCell ref="U158:V158"/>
    <mergeCell ref="U159:V159"/>
    <mergeCell ref="U170:V170"/>
    <mergeCell ref="U171:V171"/>
    <mergeCell ref="U172:V172"/>
    <mergeCell ref="U173:V173"/>
    <mergeCell ref="U174:V174"/>
    <mergeCell ref="U165:V165"/>
    <mergeCell ref="U166:V166"/>
    <mergeCell ref="U167:V167"/>
    <mergeCell ref="U168:V168"/>
    <mergeCell ref="U169:V169"/>
    <mergeCell ref="U180:V180"/>
    <mergeCell ref="U181:V181"/>
    <mergeCell ref="U182:V182"/>
    <mergeCell ref="U183:V183"/>
    <mergeCell ref="U184:V184"/>
    <mergeCell ref="U175:V175"/>
    <mergeCell ref="U176:V176"/>
    <mergeCell ref="U177:V177"/>
    <mergeCell ref="U178:V178"/>
    <mergeCell ref="U179:V179"/>
    <mergeCell ref="D100:I100"/>
    <mergeCell ref="D101:I101"/>
    <mergeCell ref="D102:I102"/>
    <mergeCell ref="D103:I103"/>
    <mergeCell ref="D104:I104"/>
    <mergeCell ref="D95:I95"/>
    <mergeCell ref="D96:I96"/>
    <mergeCell ref="D97:I97"/>
    <mergeCell ref="D98:I98"/>
    <mergeCell ref="D99:I99"/>
    <mergeCell ref="D110:I110"/>
    <mergeCell ref="D111:I111"/>
    <mergeCell ref="D112:I112"/>
    <mergeCell ref="D113:I113"/>
    <mergeCell ref="D114:I114"/>
    <mergeCell ref="D105:I105"/>
    <mergeCell ref="D106:I106"/>
    <mergeCell ref="D107:I107"/>
    <mergeCell ref="D108:I108"/>
    <mergeCell ref="D109:I109"/>
    <mergeCell ref="D120:I120"/>
    <mergeCell ref="D121:I121"/>
    <mergeCell ref="D122:I122"/>
    <mergeCell ref="D123:I123"/>
    <mergeCell ref="D124:I124"/>
    <mergeCell ref="D115:I115"/>
    <mergeCell ref="D116:I116"/>
    <mergeCell ref="D117:I117"/>
    <mergeCell ref="D118:I118"/>
    <mergeCell ref="D119:I119"/>
    <mergeCell ref="D130:I130"/>
    <mergeCell ref="D131:I131"/>
    <mergeCell ref="D132:I132"/>
    <mergeCell ref="D133:I133"/>
    <mergeCell ref="D134:I134"/>
    <mergeCell ref="D125:I125"/>
    <mergeCell ref="D126:I126"/>
    <mergeCell ref="D127:I127"/>
    <mergeCell ref="D128:I128"/>
    <mergeCell ref="D129:I129"/>
    <mergeCell ref="D140:I140"/>
    <mergeCell ref="D141:I141"/>
    <mergeCell ref="D142:I142"/>
    <mergeCell ref="D143:I143"/>
    <mergeCell ref="D144:I144"/>
    <mergeCell ref="D135:I135"/>
    <mergeCell ref="D136:I136"/>
    <mergeCell ref="D137:I137"/>
    <mergeCell ref="D138:I138"/>
    <mergeCell ref="D139:I139"/>
    <mergeCell ref="D150:I150"/>
    <mergeCell ref="D151:I151"/>
    <mergeCell ref="D152:I152"/>
    <mergeCell ref="D153:I153"/>
    <mergeCell ref="D154:I154"/>
    <mergeCell ref="D145:I145"/>
    <mergeCell ref="D146:I146"/>
    <mergeCell ref="D147:I147"/>
    <mergeCell ref="D148:I148"/>
    <mergeCell ref="D149:I149"/>
    <mergeCell ref="D160:I160"/>
    <mergeCell ref="D161:I161"/>
    <mergeCell ref="D162:I162"/>
    <mergeCell ref="D163:I163"/>
    <mergeCell ref="D164:I164"/>
    <mergeCell ref="D155:I155"/>
    <mergeCell ref="D156:I156"/>
    <mergeCell ref="D157:I157"/>
    <mergeCell ref="D158:I158"/>
    <mergeCell ref="D159:I159"/>
    <mergeCell ref="D170:I170"/>
    <mergeCell ref="D171:I171"/>
    <mergeCell ref="D172:I172"/>
    <mergeCell ref="D173:I173"/>
    <mergeCell ref="D174:I174"/>
    <mergeCell ref="D165:I165"/>
    <mergeCell ref="D166:I166"/>
    <mergeCell ref="D167:I167"/>
    <mergeCell ref="D168:I168"/>
    <mergeCell ref="D169:I169"/>
    <mergeCell ref="D180:I180"/>
    <mergeCell ref="D181:I181"/>
    <mergeCell ref="D182:I182"/>
    <mergeCell ref="D183:I183"/>
    <mergeCell ref="D184:I184"/>
    <mergeCell ref="D175:I175"/>
    <mergeCell ref="D176:I176"/>
    <mergeCell ref="D177:I177"/>
    <mergeCell ref="D178:I178"/>
    <mergeCell ref="D179:I179"/>
  </mergeCells>
  <conditionalFormatting sqref="K85:K184">
    <cfRule type="containsText" dxfId="22" priority="16" operator="containsText" text="Critical">
      <formula>NOT(ISERROR(SEARCH("Critical",K85)))</formula>
    </cfRule>
    <cfRule type="containsText" dxfId="21" priority="17" operator="containsText" text="High">
      <formula>NOT(ISERROR(SEARCH("High",K85)))</formula>
    </cfRule>
    <cfRule type="containsText" dxfId="20" priority="18" operator="containsText" text="Medium">
      <formula>NOT(ISERROR(SEARCH("Medium",K85)))</formula>
    </cfRule>
    <cfRule type="containsText" dxfId="19" priority="19" operator="containsText" text="Low">
      <formula>NOT(ISERROR(SEARCH("Low",K85)))</formula>
    </cfRule>
  </conditionalFormatting>
  <conditionalFormatting sqref="M85:M184">
    <cfRule type="containsText" dxfId="18" priority="20" operator="containsText" text="Open">
      <formula>NOT(ISERROR(SEARCH("Open",M85)))</formula>
    </cfRule>
    <cfRule type="containsText" dxfId="17" priority="21" operator="containsText" text="In Progress">
      <formula>NOT(ISERROR(SEARCH("In Progress",M85)))</formula>
    </cfRule>
    <cfRule type="containsText" dxfId="16" priority="22" operator="containsText" text="Reopened">
      <formula>NOT(ISERROR(SEARCH("Reopened",M85)))</formula>
    </cfRule>
    <cfRule type="containsText" dxfId="15" priority="23" operator="containsText" text="Fixed">
      <formula>NOT(ISERROR(SEARCH("Fixed",M85)))</formula>
    </cfRule>
    <cfRule type="containsText" dxfId="14" priority="24" operator="containsText" text="Verified">
      <formula>NOT(ISERROR(SEARCH("Verified",M85)))</formula>
    </cfRule>
    <cfRule type="containsText" dxfId="13" priority="25" operator="containsText" text="Closed">
      <formula>NOT(ISERROR(SEARCH("Closed",M85)))</formula>
    </cfRule>
  </conditionalFormatting>
  <conditionalFormatting sqref="U85:V184">
    <cfRule type="expression" dxfId="12" priority="26">
      <formula>AND($B85&lt;&gt;"",ISNUMBER($U85),$U85&gt;100)</formula>
    </cfRule>
    <cfRule type="expression" dxfId="11" priority="27">
      <formula>AND($B85&lt;&gt;"",ISNUMBER($U85),$U85&gt;=50,$U85&lt;=100)</formula>
    </cfRule>
    <cfRule type="expression" dxfId="10" priority="28">
      <formula>AND($B85&lt;&gt;"",ISNUMBER($U85),$U85&lt;50)</formula>
    </cfRule>
  </conditionalFormatting>
  <pageMargins left="0.75" right="0.75" top="1" bottom="1" header="0.5" footer="0.5"/>
  <pageSetup paperSize="0" scale="0" orientation="landscape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5149"/>
  </sheetPr>
  <dimension ref="A1:L500"/>
  <sheetViews>
    <sheetView workbookViewId="0"/>
  </sheetViews>
  <sheetFormatPr defaultRowHeight="15" x14ac:dyDescent="0.25"/>
  <cols>
    <col min="1" max="1" width="10" customWidth="1"/>
    <col min="2" max="2" width="55" customWidth="1"/>
    <col min="3" max="3" width="10" customWidth="1"/>
    <col min="4" max="4" width="12" customWidth="1"/>
    <col min="5" max="5" width="14" customWidth="1"/>
    <col min="6" max="6" width="16" customWidth="1"/>
    <col min="7" max="7" width="10" customWidth="1"/>
    <col min="8" max="9" width="12" customWidth="1"/>
    <col min="10" max="10" width="10" customWidth="1"/>
    <col min="11" max="11" width="14" customWidth="1"/>
    <col min="12" max="12" width="12" customWidth="1"/>
  </cols>
  <sheetData>
    <row r="1" spans="1:12" ht="21.95" customHeight="1" x14ac:dyDescent="0.25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59</v>
      </c>
      <c r="G1" s="13" t="s">
        <v>29</v>
      </c>
      <c r="H1" s="13" t="s">
        <v>60</v>
      </c>
      <c r="I1" s="13" t="s">
        <v>61</v>
      </c>
      <c r="J1" s="13" t="s">
        <v>30</v>
      </c>
      <c r="K1" s="13" t="s">
        <v>62</v>
      </c>
      <c r="L1" s="13" t="s">
        <v>63</v>
      </c>
    </row>
    <row r="2" spans="1:12" ht="15.95" customHeight="1" x14ac:dyDescent="0.25">
      <c r="A2" s="2" t="s">
        <v>64</v>
      </c>
      <c r="B2" s="3" t="s">
        <v>492</v>
      </c>
      <c r="C2" s="4" t="s">
        <v>32</v>
      </c>
      <c r="D2" s="14" t="s">
        <v>65</v>
      </c>
      <c r="E2" s="2" t="s">
        <v>46</v>
      </c>
      <c r="F2" s="2" t="s">
        <v>66</v>
      </c>
      <c r="G2" s="2" t="s">
        <v>44</v>
      </c>
      <c r="H2" s="2" t="s">
        <v>67</v>
      </c>
      <c r="I2" s="2" t="s">
        <v>68</v>
      </c>
      <c r="J2" s="2">
        <f t="shared" ref="J2:J33" ca="1" si="0">IF(I2="—",TODAY()-H2,I2-H2)</f>
        <v>4</v>
      </c>
      <c r="K2" s="2" t="s">
        <v>69</v>
      </c>
      <c r="L2" s="2" t="s">
        <v>70</v>
      </c>
    </row>
    <row r="3" spans="1:12" ht="15.95" customHeight="1" x14ac:dyDescent="0.25">
      <c r="A3" s="6" t="s">
        <v>36</v>
      </c>
      <c r="B3" s="7" t="s">
        <v>493</v>
      </c>
      <c r="C3" s="8" t="s">
        <v>37</v>
      </c>
      <c r="D3" s="9" t="s">
        <v>38</v>
      </c>
      <c r="E3" s="6" t="s">
        <v>39</v>
      </c>
      <c r="F3" s="6" t="s">
        <v>71</v>
      </c>
      <c r="G3" s="6" t="s">
        <v>35</v>
      </c>
      <c r="H3" s="6" t="s">
        <v>72</v>
      </c>
      <c r="I3" s="6" t="s">
        <v>73</v>
      </c>
      <c r="J3" s="6">
        <f t="shared" ca="1" si="0"/>
        <v>226</v>
      </c>
      <c r="K3" s="6" t="s">
        <v>74</v>
      </c>
      <c r="L3" s="6" t="s">
        <v>70</v>
      </c>
    </row>
    <row r="4" spans="1:12" ht="15.95" customHeight="1" x14ac:dyDescent="0.25">
      <c r="A4" s="2" t="s">
        <v>75</v>
      </c>
      <c r="B4" s="3" t="s">
        <v>494</v>
      </c>
      <c r="C4" s="4" t="s">
        <v>32</v>
      </c>
      <c r="D4" s="14" t="s">
        <v>65</v>
      </c>
      <c r="E4" s="2" t="s">
        <v>76</v>
      </c>
      <c r="F4" s="2" t="s">
        <v>71</v>
      </c>
      <c r="G4" s="2" t="s">
        <v>58</v>
      </c>
      <c r="H4" s="2" t="s">
        <v>77</v>
      </c>
      <c r="I4" s="2" t="s">
        <v>67</v>
      </c>
      <c r="J4" s="2">
        <f t="shared" ca="1" si="0"/>
        <v>13</v>
      </c>
      <c r="K4" s="2" t="s">
        <v>78</v>
      </c>
      <c r="L4" s="2" t="s">
        <v>79</v>
      </c>
    </row>
    <row r="5" spans="1:12" ht="15.95" customHeight="1" x14ac:dyDescent="0.25">
      <c r="A5" s="6" t="s">
        <v>80</v>
      </c>
      <c r="B5" s="7" t="s">
        <v>495</v>
      </c>
      <c r="C5" s="15" t="s">
        <v>81</v>
      </c>
      <c r="D5" s="16" t="s">
        <v>82</v>
      </c>
      <c r="E5" s="6" t="s">
        <v>83</v>
      </c>
      <c r="F5" s="6" t="s">
        <v>66</v>
      </c>
      <c r="G5" s="6" t="s">
        <v>54</v>
      </c>
      <c r="H5" s="6" t="s">
        <v>84</v>
      </c>
      <c r="I5" s="6" t="s">
        <v>85</v>
      </c>
      <c r="J5" s="6">
        <f t="shared" ca="1" si="0"/>
        <v>6</v>
      </c>
      <c r="K5" s="6" t="s">
        <v>69</v>
      </c>
      <c r="L5" s="6" t="s">
        <v>79</v>
      </c>
    </row>
    <row r="6" spans="1:12" ht="15.95" customHeight="1" x14ac:dyDescent="0.25">
      <c r="A6" s="2" t="s">
        <v>86</v>
      </c>
      <c r="B6" s="3" t="s">
        <v>496</v>
      </c>
      <c r="C6" s="5" t="s">
        <v>37</v>
      </c>
      <c r="D6" s="17" t="s">
        <v>82</v>
      </c>
      <c r="E6" s="2" t="s">
        <v>56</v>
      </c>
      <c r="F6" s="2" t="s">
        <v>66</v>
      </c>
      <c r="G6" s="2" t="s">
        <v>44</v>
      </c>
      <c r="H6" s="2" t="s">
        <v>87</v>
      </c>
      <c r="I6" s="2" t="s">
        <v>88</v>
      </c>
      <c r="J6" s="2">
        <f t="shared" ca="1" si="0"/>
        <v>11</v>
      </c>
      <c r="K6" s="2" t="s">
        <v>89</v>
      </c>
      <c r="L6" s="2" t="s">
        <v>90</v>
      </c>
    </row>
    <row r="7" spans="1:12" ht="15.95" customHeight="1" x14ac:dyDescent="0.25">
      <c r="A7" s="6" t="s">
        <v>91</v>
      </c>
      <c r="B7" s="7" t="s">
        <v>497</v>
      </c>
      <c r="C7" s="11" t="s">
        <v>32</v>
      </c>
      <c r="D7" s="8" t="s">
        <v>33</v>
      </c>
      <c r="E7" s="6" t="s">
        <v>76</v>
      </c>
      <c r="F7" s="6" t="s">
        <v>92</v>
      </c>
      <c r="G7" s="6" t="s">
        <v>93</v>
      </c>
      <c r="H7" s="6" t="s">
        <v>94</v>
      </c>
      <c r="I7" s="6" t="s">
        <v>73</v>
      </c>
      <c r="J7" s="6">
        <f t="shared" ca="1" si="0"/>
        <v>37</v>
      </c>
      <c r="K7" s="6" t="s">
        <v>74</v>
      </c>
      <c r="L7" s="6" t="s">
        <v>95</v>
      </c>
    </row>
    <row r="8" spans="1:12" ht="15.95" customHeight="1" x14ac:dyDescent="0.25">
      <c r="A8" s="2" t="s">
        <v>57</v>
      </c>
      <c r="B8" s="3" t="s">
        <v>498</v>
      </c>
      <c r="C8" s="4" t="s">
        <v>32</v>
      </c>
      <c r="D8" s="10" t="s">
        <v>38</v>
      </c>
      <c r="E8" s="2" t="s">
        <v>53</v>
      </c>
      <c r="F8" s="2" t="s">
        <v>96</v>
      </c>
      <c r="G8" s="2" t="s">
        <v>58</v>
      </c>
      <c r="H8" s="2" t="s">
        <v>97</v>
      </c>
      <c r="I8" s="2" t="s">
        <v>73</v>
      </c>
      <c r="J8" s="2">
        <f t="shared" ca="1" si="0"/>
        <v>144</v>
      </c>
      <c r="K8" s="2" t="s">
        <v>74</v>
      </c>
      <c r="L8" s="2" t="s">
        <v>70</v>
      </c>
    </row>
    <row r="9" spans="1:12" ht="15.95" customHeight="1" x14ac:dyDescent="0.25">
      <c r="A9" s="6" t="s">
        <v>98</v>
      </c>
      <c r="B9" s="7" t="s">
        <v>499</v>
      </c>
      <c r="C9" s="11" t="s">
        <v>32</v>
      </c>
      <c r="D9" s="18" t="s">
        <v>65</v>
      </c>
      <c r="E9" s="6" t="s">
        <v>51</v>
      </c>
      <c r="F9" s="6" t="s">
        <v>99</v>
      </c>
      <c r="G9" s="6" t="s">
        <v>41</v>
      </c>
      <c r="H9" s="6" t="s">
        <v>100</v>
      </c>
      <c r="I9" s="6" t="s">
        <v>101</v>
      </c>
      <c r="J9" s="6">
        <f t="shared" ca="1" si="0"/>
        <v>12</v>
      </c>
      <c r="K9" s="6" t="s">
        <v>74</v>
      </c>
      <c r="L9" s="6" t="s">
        <v>79</v>
      </c>
    </row>
    <row r="10" spans="1:12" ht="15.95" customHeight="1" x14ac:dyDescent="0.25">
      <c r="A10" s="2" t="s">
        <v>102</v>
      </c>
      <c r="B10" s="3" t="s">
        <v>496</v>
      </c>
      <c r="C10" s="19" t="s">
        <v>81</v>
      </c>
      <c r="D10" s="5" t="s">
        <v>33</v>
      </c>
      <c r="E10" s="2" t="s">
        <v>34</v>
      </c>
      <c r="F10" s="2" t="s">
        <v>92</v>
      </c>
      <c r="G10" s="2" t="s">
        <v>54</v>
      </c>
      <c r="H10" s="2" t="s">
        <v>103</v>
      </c>
      <c r="I10" s="2" t="s">
        <v>73</v>
      </c>
      <c r="J10" s="2">
        <f t="shared" ca="1" si="0"/>
        <v>154</v>
      </c>
      <c r="K10" s="2" t="s">
        <v>74</v>
      </c>
      <c r="L10" s="2" t="s">
        <v>95</v>
      </c>
    </row>
    <row r="11" spans="1:12" ht="15.95" customHeight="1" x14ac:dyDescent="0.25">
      <c r="A11" s="6" t="s">
        <v>104</v>
      </c>
      <c r="B11" s="7" t="s">
        <v>500</v>
      </c>
      <c r="C11" s="11" t="s">
        <v>32</v>
      </c>
      <c r="D11" s="20" t="s">
        <v>105</v>
      </c>
      <c r="E11" s="6" t="s">
        <v>106</v>
      </c>
      <c r="F11" s="6" t="s">
        <v>107</v>
      </c>
      <c r="G11" s="6" t="s">
        <v>58</v>
      </c>
      <c r="H11" s="6" t="s">
        <v>108</v>
      </c>
      <c r="I11" s="6" t="s">
        <v>109</v>
      </c>
      <c r="J11" s="6">
        <f t="shared" ca="1" si="0"/>
        <v>5</v>
      </c>
      <c r="K11" s="6" t="s">
        <v>74</v>
      </c>
      <c r="L11" s="6" t="s">
        <v>70</v>
      </c>
    </row>
    <row r="12" spans="1:12" ht="15.95" customHeight="1" x14ac:dyDescent="0.25">
      <c r="A12" s="2" t="s">
        <v>110</v>
      </c>
      <c r="B12" s="3" t="s">
        <v>494</v>
      </c>
      <c r="C12" s="21" t="s">
        <v>111</v>
      </c>
      <c r="D12" s="14" t="s">
        <v>65</v>
      </c>
      <c r="E12" s="2" t="s">
        <v>46</v>
      </c>
      <c r="F12" s="2" t="s">
        <v>92</v>
      </c>
      <c r="G12" s="2" t="s">
        <v>35</v>
      </c>
      <c r="H12" s="2" t="s">
        <v>84</v>
      </c>
      <c r="I12" s="2" t="s">
        <v>112</v>
      </c>
      <c r="J12" s="2">
        <f t="shared" ca="1" si="0"/>
        <v>3</v>
      </c>
      <c r="K12" s="2" t="s">
        <v>69</v>
      </c>
      <c r="L12" s="2" t="s">
        <v>70</v>
      </c>
    </row>
    <row r="13" spans="1:12" ht="15.95" customHeight="1" x14ac:dyDescent="0.25">
      <c r="A13" s="6" t="s">
        <v>113</v>
      </c>
      <c r="B13" s="7" t="s">
        <v>501</v>
      </c>
      <c r="C13" s="11" t="s">
        <v>32</v>
      </c>
      <c r="D13" s="20" t="s">
        <v>105</v>
      </c>
      <c r="E13" s="6" t="s">
        <v>76</v>
      </c>
      <c r="F13" s="6" t="s">
        <v>99</v>
      </c>
      <c r="G13" s="6" t="s">
        <v>93</v>
      </c>
      <c r="H13" s="6" t="s">
        <v>114</v>
      </c>
      <c r="I13" s="6" t="s">
        <v>115</v>
      </c>
      <c r="J13" s="6">
        <f t="shared" ca="1" si="0"/>
        <v>1</v>
      </c>
      <c r="K13" s="6" t="s">
        <v>89</v>
      </c>
      <c r="L13" s="6" t="s">
        <v>95</v>
      </c>
    </row>
    <row r="14" spans="1:12" ht="15.95" customHeight="1" x14ac:dyDescent="0.25">
      <c r="A14" s="2" t="s">
        <v>116</v>
      </c>
      <c r="B14" s="3" t="s">
        <v>502</v>
      </c>
      <c r="C14" s="4" t="s">
        <v>32</v>
      </c>
      <c r="D14" s="5" t="s">
        <v>33</v>
      </c>
      <c r="E14" s="2" t="s">
        <v>53</v>
      </c>
      <c r="F14" s="2" t="s">
        <v>96</v>
      </c>
      <c r="G14" s="2" t="s">
        <v>44</v>
      </c>
      <c r="H14" s="2" t="s">
        <v>117</v>
      </c>
      <c r="I14" s="2" t="s">
        <v>73</v>
      </c>
      <c r="J14" s="2">
        <f t="shared" ca="1" si="0"/>
        <v>123</v>
      </c>
      <c r="K14" s="2" t="s">
        <v>118</v>
      </c>
      <c r="L14" s="2" t="s">
        <v>95</v>
      </c>
    </row>
    <row r="15" spans="1:12" ht="15.95" customHeight="1" x14ac:dyDescent="0.25">
      <c r="A15" s="6" t="s">
        <v>119</v>
      </c>
      <c r="B15" s="7" t="s">
        <v>503</v>
      </c>
      <c r="C15" s="15" t="s">
        <v>81</v>
      </c>
      <c r="D15" s="9" t="s">
        <v>38</v>
      </c>
      <c r="E15" s="6" t="s">
        <v>39</v>
      </c>
      <c r="F15" s="6" t="s">
        <v>120</v>
      </c>
      <c r="G15" s="6" t="s">
        <v>93</v>
      </c>
      <c r="H15" s="6" t="s">
        <v>67</v>
      </c>
      <c r="I15" s="6" t="s">
        <v>73</v>
      </c>
      <c r="J15" s="6">
        <f t="shared" ca="1" si="0"/>
        <v>71</v>
      </c>
      <c r="K15" s="6" t="s">
        <v>121</v>
      </c>
      <c r="L15" s="6" t="s">
        <v>79</v>
      </c>
    </row>
    <row r="16" spans="1:12" ht="15.95" customHeight="1" x14ac:dyDescent="0.25">
      <c r="A16" s="2" t="s">
        <v>122</v>
      </c>
      <c r="B16" s="3" t="s">
        <v>504</v>
      </c>
      <c r="C16" s="21" t="s">
        <v>111</v>
      </c>
      <c r="D16" s="14" t="s">
        <v>65</v>
      </c>
      <c r="E16" s="2" t="s">
        <v>56</v>
      </c>
      <c r="F16" s="2" t="s">
        <v>96</v>
      </c>
      <c r="G16" s="2" t="s">
        <v>44</v>
      </c>
      <c r="H16" s="2" t="s">
        <v>123</v>
      </c>
      <c r="I16" s="2" t="s">
        <v>124</v>
      </c>
      <c r="J16" s="2">
        <f t="shared" ca="1" si="0"/>
        <v>14</v>
      </c>
      <c r="K16" s="2" t="s">
        <v>89</v>
      </c>
      <c r="L16" s="2" t="s">
        <v>70</v>
      </c>
    </row>
    <row r="17" spans="1:12" ht="15.95" customHeight="1" x14ac:dyDescent="0.25">
      <c r="A17" s="6" t="s">
        <v>125</v>
      </c>
      <c r="B17" s="7" t="s">
        <v>505</v>
      </c>
      <c r="C17" s="22" t="s">
        <v>111</v>
      </c>
      <c r="D17" s="20" t="s">
        <v>105</v>
      </c>
      <c r="E17" s="6" t="s">
        <v>53</v>
      </c>
      <c r="F17" s="6" t="s">
        <v>107</v>
      </c>
      <c r="G17" s="6" t="s">
        <v>35</v>
      </c>
      <c r="H17" s="6" t="s">
        <v>126</v>
      </c>
      <c r="I17" s="6" t="s">
        <v>127</v>
      </c>
      <c r="J17" s="6">
        <f t="shared" ca="1" si="0"/>
        <v>3</v>
      </c>
      <c r="K17" s="6" t="s">
        <v>74</v>
      </c>
      <c r="L17" s="6" t="s">
        <v>90</v>
      </c>
    </row>
    <row r="18" spans="1:12" ht="15.95" customHeight="1" x14ac:dyDescent="0.25">
      <c r="A18" s="2" t="s">
        <v>128</v>
      </c>
      <c r="B18" s="3" t="s">
        <v>506</v>
      </c>
      <c r="C18" s="4" t="s">
        <v>32</v>
      </c>
      <c r="D18" s="23" t="s">
        <v>43</v>
      </c>
      <c r="E18" s="2" t="s">
        <v>34</v>
      </c>
      <c r="F18" s="2" t="s">
        <v>120</v>
      </c>
      <c r="G18" s="2" t="s">
        <v>58</v>
      </c>
      <c r="H18" s="2" t="s">
        <v>129</v>
      </c>
      <c r="I18" s="2" t="s">
        <v>73</v>
      </c>
      <c r="J18" s="2">
        <f t="shared" ca="1" si="0"/>
        <v>52</v>
      </c>
      <c r="K18" s="2" t="s">
        <v>74</v>
      </c>
      <c r="L18" s="2" t="s">
        <v>79</v>
      </c>
    </row>
    <row r="19" spans="1:12" ht="15.95" customHeight="1" x14ac:dyDescent="0.25">
      <c r="A19" s="6" t="s">
        <v>130</v>
      </c>
      <c r="B19" s="7" t="s">
        <v>507</v>
      </c>
      <c r="C19" s="8" t="s">
        <v>37</v>
      </c>
      <c r="D19" s="20" t="s">
        <v>105</v>
      </c>
      <c r="E19" s="6" t="s">
        <v>83</v>
      </c>
      <c r="F19" s="6" t="s">
        <v>71</v>
      </c>
      <c r="G19" s="6" t="s">
        <v>44</v>
      </c>
      <c r="H19" s="6" t="s">
        <v>131</v>
      </c>
      <c r="I19" s="6" t="s">
        <v>87</v>
      </c>
      <c r="J19" s="6">
        <f t="shared" ca="1" si="0"/>
        <v>10</v>
      </c>
      <c r="K19" s="6" t="s">
        <v>89</v>
      </c>
      <c r="L19" s="6" t="s">
        <v>95</v>
      </c>
    </row>
    <row r="20" spans="1:12" ht="15.95" customHeight="1" x14ac:dyDescent="0.25">
      <c r="A20" s="2" t="s">
        <v>132</v>
      </c>
      <c r="B20" s="3" t="s">
        <v>508</v>
      </c>
      <c r="C20" s="19" t="s">
        <v>81</v>
      </c>
      <c r="D20" s="17" t="s">
        <v>82</v>
      </c>
      <c r="E20" s="2" t="s">
        <v>133</v>
      </c>
      <c r="F20" s="2" t="s">
        <v>96</v>
      </c>
      <c r="G20" s="2" t="s">
        <v>54</v>
      </c>
      <c r="H20" s="2" t="s">
        <v>134</v>
      </c>
      <c r="I20" s="2" t="s">
        <v>112</v>
      </c>
      <c r="J20" s="2">
        <f t="shared" ca="1" si="0"/>
        <v>8</v>
      </c>
      <c r="K20" s="2" t="s">
        <v>74</v>
      </c>
      <c r="L20" s="2" t="s">
        <v>70</v>
      </c>
    </row>
    <row r="21" spans="1:12" ht="15.95" customHeight="1" x14ac:dyDescent="0.25">
      <c r="A21" s="6" t="s">
        <v>135</v>
      </c>
      <c r="B21" s="7" t="s">
        <v>509</v>
      </c>
      <c r="C21" s="11" t="s">
        <v>32</v>
      </c>
      <c r="D21" s="8" t="s">
        <v>33</v>
      </c>
      <c r="E21" s="6" t="s">
        <v>106</v>
      </c>
      <c r="F21" s="6" t="s">
        <v>92</v>
      </c>
      <c r="G21" s="6" t="s">
        <v>41</v>
      </c>
      <c r="H21" s="6" t="s">
        <v>136</v>
      </c>
      <c r="I21" s="6" t="s">
        <v>73</v>
      </c>
      <c r="J21" s="6">
        <f t="shared" ca="1" si="0"/>
        <v>130</v>
      </c>
      <c r="K21" s="6" t="s">
        <v>118</v>
      </c>
      <c r="L21" s="6" t="s">
        <v>79</v>
      </c>
    </row>
    <row r="22" spans="1:12" ht="15.95" customHeight="1" x14ac:dyDescent="0.25">
      <c r="A22" s="2" t="s">
        <v>137</v>
      </c>
      <c r="B22" s="3" t="s">
        <v>510</v>
      </c>
      <c r="C22" s="19" t="s">
        <v>81</v>
      </c>
      <c r="D22" s="17" t="s">
        <v>82</v>
      </c>
      <c r="E22" s="2" t="s">
        <v>56</v>
      </c>
      <c r="F22" s="2" t="s">
        <v>96</v>
      </c>
      <c r="G22" s="2" t="s">
        <v>54</v>
      </c>
      <c r="H22" s="2" t="s">
        <v>138</v>
      </c>
      <c r="I22" s="2" t="s">
        <v>85</v>
      </c>
      <c r="J22" s="2">
        <f t="shared" ca="1" si="0"/>
        <v>14</v>
      </c>
      <c r="K22" s="2" t="s">
        <v>74</v>
      </c>
      <c r="L22" s="2" t="s">
        <v>70</v>
      </c>
    </row>
    <row r="23" spans="1:12" ht="15.95" customHeight="1" x14ac:dyDescent="0.25">
      <c r="A23" s="6" t="s">
        <v>40</v>
      </c>
      <c r="B23" s="7" t="s">
        <v>511</v>
      </c>
      <c r="C23" s="11" t="s">
        <v>32</v>
      </c>
      <c r="D23" s="9" t="s">
        <v>38</v>
      </c>
      <c r="E23" s="6" t="s">
        <v>39</v>
      </c>
      <c r="F23" s="6" t="s">
        <v>120</v>
      </c>
      <c r="G23" s="6" t="s">
        <v>41</v>
      </c>
      <c r="H23" s="6" t="s">
        <v>139</v>
      </c>
      <c r="I23" s="6" t="s">
        <v>73</v>
      </c>
      <c r="J23" s="6">
        <f t="shared" ca="1" si="0"/>
        <v>188</v>
      </c>
      <c r="K23" s="6" t="s">
        <v>118</v>
      </c>
      <c r="L23" s="6" t="s">
        <v>79</v>
      </c>
    </row>
    <row r="24" spans="1:12" ht="15.95" customHeight="1" x14ac:dyDescent="0.25">
      <c r="A24" s="2" t="s">
        <v>140</v>
      </c>
      <c r="B24" s="3" t="s">
        <v>512</v>
      </c>
      <c r="C24" s="21" t="s">
        <v>111</v>
      </c>
      <c r="D24" s="14" t="s">
        <v>65</v>
      </c>
      <c r="E24" s="2" t="s">
        <v>56</v>
      </c>
      <c r="F24" s="2" t="s">
        <v>99</v>
      </c>
      <c r="G24" s="2" t="s">
        <v>35</v>
      </c>
      <c r="H24" s="2" t="s">
        <v>84</v>
      </c>
      <c r="I24" s="2" t="s">
        <v>112</v>
      </c>
      <c r="J24" s="2">
        <f t="shared" ca="1" si="0"/>
        <v>3</v>
      </c>
      <c r="K24" s="2" t="s">
        <v>89</v>
      </c>
      <c r="L24" s="2" t="s">
        <v>90</v>
      </c>
    </row>
    <row r="25" spans="1:12" ht="15.95" customHeight="1" x14ac:dyDescent="0.25">
      <c r="A25" s="6" t="s">
        <v>141</v>
      </c>
      <c r="B25" s="7" t="s">
        <v>513</v>
      </c>
      <c r="C25" s="8" t="s">
        <v>37</v>
      </c>
      <c r="D25" s="16" t="s">
        <v>82</v>
      </c>
      <c r="E25" s="6" t="s">
        <v>39</v>
      </c>
      <c r="F25" s="6" t="s">
        <v>66</v>
      </c>
      <c r="G25" s="6" t="s">
        <v>54</v>
      </c>
      <c r="H25" s="6" t="s">
        <v>100</v>
      </c>
      <c r="I25" s="6" t="s">
        <v>142</v>
      </c>
      <c r="J25" s="6">
        <f t="shared" ca="1" si="0"/>
        <v>13</v>
      </c>
      <c r="K25" s="6" t="s">
        <v>74</v>
      </c>
      <c r="L25" s="6" t="s">
        <v>90</v>
      </c>
    </row>
    <row r="26" spans="1:12" ht="15.95" customHeight="1" x14ac:dyDescent="0.25">
      <c r="A26" s="2" t="s">
        <v>50</v>
      </c>
      <c r="B26" s="3" t="s">
        <v>514</v>
      </c>
      <c r="C26" s="4" t="s">
        <v>32</v>
      </c>
      <c r="D26" s="5" t="s">
        <v>33</v>
      </c>
      <c r="E26" s="2" t="s">
        <v>51</v>
      </c>
      <c r="F26" s="2" t="s">
        <v>120</v>
      </c>
      <c r="G26" s="2" t="s">
        <v>41</v>
      </c>
      <c r="H26" s="2" t="s">
        <v>143</v>
      </c>
      <c r="I26" s="2" t="s">
        <v>73</v>
      </c>
      <c r="J26" s="2">
        <f t="shared" ca="1" si="0"/>
        <v>159</v>
      </c>
      <c r="K26" s="2" t="s">
        <v>69</v>
      </c>
      <c r="L26" s="2" t="s">
        <v>70</v>
      </c>
    </row>
    <row r="27" spans="1:12" ht="15.95" customHeight="1" x14ac:dyDescent="0.25">
      <c r="A27" s="6" t="s">
        <v>144</v>
      </c>
      <c r="B27" s="7" t="s">
        <v>515</v>
      </c>
      <c r="C27" s="22" t="s">
        <v>111</v>
      </c>
      <c r="D27" s="20" t="s">
        <v>105</v>
      </c>
      <c r="E27" s="6" t="s">
        <v>53</v>
      </c>
      <c r="F27" s="6" t="s">
        <v>120</v>
      </c>
      <c r="G27" s="6" t="s">
        <v>44</v>
      </c>
      <c r="H27" s="6" t="s">
        <v>145</v>
      </c>
      <c r="I27" s="6" t="s">
        <v>146</v>
      </c>
      <c r="J27" s="6">
        <f t="shared" ca="1" si="0"/>
        <v>1</v>
      </c>
      <c r="K27" s="6" t="s">
        <v>118</v>
      </c>
      <c r="L27" s="6" t="s">
        <v>90</v>
      </c>
    </row>
    <row r="28" spans="1:12" ht="15.95" customHeight="1" x14ac:dyDescent="0.25">
      <c r="A28" s="2" t="s">
        <v>147</v>
      </c>
      <c r="B28" s="3" t="s">
        <v>516</v>
      </c>
      <c r="C28" s="4" t="s">
        <v>32</v>
      </c>
      <c r="D28" s="14" t="s">
        <v>65</v>
      </c>
      <c r="E28" s="2" t="s">
        <v>133</v>
      </c>
      <c r="F28" s="2" t="s">
        <v>120</v>
      </c>
      <c r="G28" s="2" t="s">
        <v>35</v>
      </c>
      <c r="H28" s="2" t="s">
        <v>148</v>
      </c>
      <c r="I28" s="2" t="s">
        <v>88</v>
      </c>
      <c r="J28" s="2">
        <f t="shared" ca="1" si="0"/>
        <v>4</v>
      </c>
      <c r="K28" s="2" t="s">
        <v>118</v>
      </c>
      <c r="L28" s="2" t="s">
        <v>95</v>
      </c>
    </row>
    <row r="29" spans="1:12" ht="15.95" customHeight="1" x14ac:dyDescent="0.25">
      <c r="A29" s="6" t="s">
        <v>149</v>
      </c>
      <c r="B29" s="7" t="s">
        <v>517</v>
      </c>
      <c r="C29" s="11" t="s">
        <v>32</v>
      </c>
      <c r="D29" s="20" t="s">
        <v>105</v>
      </c>
      <c r="E29" s="6" t="s">
        <v>76</v>
      </c>
      <c r="F29" s="6" t="s">
        <v>92</v>
      </c>
      <c r="G29" s="6" t="s">
        <v>93</v>
      </c>
      <c r="H29" s="6" t="s">
        <v>150</v>
      </c>
      <c r="I29" s="6" t="s">
        <v>151</v>
      </c>
      <c r="J29" s="6">
        <f t="shared" ca="1" si="0"/>
        <v>4</v>
      </c>
      <c r="K29" s="6" t="s">
        <v>89</v>
      </c>
      <c r="L29" s="6" t="s">
        <v>79</v>
      </c>
    </row>
    <row r="30" spans="1:12" ht="15.95" customHeight="1" x14ac:dyDescent="0.25">
      <c r="A30" s="2" t="s">
        <v>152</v>
      </c>
      <c r="B30" s="3" t="s">
        <v>501</v>
      </c>
      <c r="C30" s="19" t="s">
        <v>81</v>
      </c>
      <c r="D30" s="24" t="s">
        <v>105</v>
      </c>
      <c r="E30" s="2" t="s">
        <v>39</v>
      </c>
      <c r="F30" s="2" t="s">
        <v>107</v>
      </c>
      <c r="G30" s="2" t="s">
        <v>49</v>
      </c>
      <c r="H30" s="2" t="s">
        <v>153</v>
      </c>
      <c r="I30" s="2" t="s">
        <v>154</v>
      </c>
      <c r="J30" s="2">
        <f t="shared" ca="1" si="0"/>
        <v>2</v>
      </c>
      <c r="K30" s="2" t="s">
        <v>78</v>
      </c>
      <c r="L30" s="2" t="s">
        <v>79</v>
      </c>
    </row>
    <row r="31" spans="1:12" ht="15.95" customHeight="1" x14ac:dyDescent="0.25">
      <c r="A31" s="6" t="s">
        <v>155</v>
      </c>
      <c r="B31" s="7" t="s">
        <v>518</v>
      </c>
      <c r="C31" s="15" t="s">
        <v>81</v>
      </c>
      <c r="D31" s="9" t="s">
        <v>38</v>
      </c>
      <c r="E31" s="6" t="s">
        <v>39</v>
      </c>
      <c r="F31" s="6" t="s">
        <v>120</v>
      </c>
      <c r="G31" s="6" t="s">
        <v>47</v>
      </c>
      <c r="H31" s="6" t="s">
        <v>156</v>
      </c>
      <c r="I31" s="6" t="s">
        <v>73</v>
      </c>
      <c r="J31" s="6">
        <f t="shared" ca="1" si="0"/>
        <v>172</v>
      </c>
      <c r="K31" s="6" t="s">
        <v>118</v>
      </c>
      <c r="L31" s="6" t="s">
        <v>79</v>
      </c>
    </row>
    <row r="32" spans="1:12" ht="15.95" customHeight="1" x14ac:dyDescent="0.25">
      <c r="A32" s="2" t="s">
        <v>157</v>
      </c>
      <c r="B32" s="3" t="s">
        <v>519</v>
      </c>
      <c r="C32" s="4" t="s">
        <v>32</v>
      </c>
      <c r="D32" s="14" t="s">
        <v>65</v>
      </c>
      <c r="E32" s="2" t="s">
        <v>76</v>
      </c>
      <c r="F32" s="2" t="s">
        <v>96</v>
      </c>
      <c r="G32" s="2" t="s">
        <v>58</v>
      </c>
      <c r="H32" s="2" t="s">
        <v>158</v>
      </c>
      <c r="I32" s="2" t="s">
        <v>139</v>
      </c>
      <c r="J32" s="2">
        <f t="shared" ca="1" si="0"/>
        <v>12</v>
      </c>
      <c r="K32" s="2" t="s">
        <v>118</v>
      </c>
      <c r="L32" s="2" t="s">
        <v>95</v>
      </c>
    </row>
    <row r="33" spans="1:12" ht="15.95" customHeight="1" x14ac:dyDescent="0.25">
      <c r="A33" s="6" t="s">
        <v>159</v>
      </c>
      <c r="B33" s="7" t="s">
        <v>513</v>
      </c>
      <c r="C33" s="15" t="s">
        <v>81</v>
      </c>
      <c r="D33" s="18" t="s">
        <v>65</v>
      </c>
      <c r="E33" s="6" t="s">
        <v>83</v>
      </c>
      <c r="F33" s="6" t="s">
        <v>120</v>
      </c>
      <c r="G33" s="6" t="s">
        <v>35</v>
      </c>
      <c r="H33" s="6" t="s">
        <v>160</v>
      </c>
      <c r="I33" s="6" t="s">
        <v>161</v>
      </c>
      <c r="J33" s="6">
        <f t="shared" ca="1" si="0"/>
        <v>9</v>
      </c>
      <c r="K33" s="6" t="s">
        <v>78</v>
      </c>
      <c r="L33" s="6" t="s">
        <v>79</v>
      </c>
    </row>
    <row r="34" spans="1:12" ht="15.95" customHeight="1" x14ac:dyDescent="0.25">
      <c r="A34" s="2" t="s">
        <v>31</v>
      </c>
      <c r="B34" s="3" t="s">
        <v>520</v>
      </c>
      <c r="C34" s="4" t="s">
        <v>32</v>
      </c>
      <c r="D34" s="5" t="s">
        <v>33</v>
      </c>
      <c r="E34" s="2" t="s">
        <v>34</v>
      </c>
      <c r="F34" s="2" t="s">
        <v>96</v>
      </c>
      <c r="G34" s="2" t="s">
        <v>35</v>
      </c>
      <c r="H34" s="2" t="s">
        <v>162</v>
      </c>
      <c r="I34" s="2" t="s">
        <v>73</v>
      </c>
      <c r="J34" s="2">
        <f t="shared" ref="J34:J65" ca="1" si="1">IF(I34="—",TODAY()-H34,I34-H34)</f>
        <v>234</v>
      </c>
      <c r="K34" s="2" t="s">
        <v>69</v>
      </c>
      <c r="L34" s="2" t="s">
        <v>79</v>
      </c>
    </row>
    <row r="35" spans="1:12" ht="15.95" customHeight="1" x14ac:dyDescent="0.25">
      <c r="A35" s="6" t="s">
        <v>163</v>
      </c>
      <c r="B35" s="7" t="s">
        <v>514</v>
      </c>
      <c r="C35" s="8" t="s">
        <v>37</v>
      </c>
      <c r="D35" s="18" t="s">
        <v>65</v>
      </c>
      <c r="E35" s="6" t="s">
        <v>51</v>
      </c>
      <c r="F35" s="6" t="s">
        <v>96</v>
      </c>
      <c r="G35" s="6" t="s">
        <v>49</v>
      </c>
      <c r="H35" s="6" t="s">
        <v>123</v>
      </c>
      <c r="I35" s="6" t="s">
        <v>164</v>
      </c>
      <c r="J35" s="6">
        <f t="shared" ca="1" si="1"/>
        <v>3</v>
      </c>
      <c r="K35" s="6" t="s">
        <v>121</v>
      </c>
      <c r="L35" s="6" t="s">
        <v>90</v>
      </c>
    </row>
    <row r="36" spans="1:12" ht="15.95" customHeight="1" x14ac:dyDescent="0.25">
      <c r="A36" s="2" t="s">
        <v>165</v>
      </c>
      <c r="B36" s="3" t="s">
        <v>521</v>
      </c>
      <c r="C36" s="4" t="s">
        <v>32</v>
      </c>
      <c r="D36" s="14" t="s">
        <v>65</v>
      </c>
      <c r="E36" s="2" t="s">
        <v>56</v>
      </c>
      <c r="F36" s="2" t="s">
        <v>66</v>
      </c>
      <c r="G36" s="2" t="s">
        <v>44</v>
      </c>
      <c r="H36" s="2" t="s">
        <v>166</v>
      </c>
      <c r="I36" s="2" t="s">
        <v>84</v>
      </c>
      <c r="J36" s="2">
        <f t="shared" ca="1" si="1"/>
        <v>13</v>
      </c>
      <c r="K36" s="2" t="s">
        <v>78</v>
      </c>
      <c r="L36" s="2" t="s">
        <v>70</v>
      </c>
    </row>
    <row r="37" spans="1:12" ht="15.95" customHeight="1" x14ac:dyDescent="0.25">
      <c r="A37" s="6" t="s">
        <v>167</v>
      </c>
      <c r="B37" s="7" t="s">
        <v>522</v>
      </c>
      <c r="C37" s="15" t="s">
        <v>81</v>
      </c>
      <c r="D37" s="18" t="s">
        <v>65</v>
      </c>
      <c r="E37" s="6" t="s">
        <v>83</v>
      </c>
      <c r="F37" s="6" t="s">
        <v>71</v>
      </c>
      <c r="G37" s="6" t="s">
        <v>93</v>
      </c>
      <c r="H37" s="6" t="s">
        <v>168</v>
      </c>
      <c r="I37" s="6" t="s">
        <v>169</v>
      </c>
      <c r="J37" s="6">
        <f t="shared" ca="1" si="1"/>
        <v>4</v>
      </c>
      <c r="K37" s="6" t="s">
        <v>121</v>
      </c>
      <c r="L37" s="6" t="s">
        <v>90</v>
      </c>
    </row>
    <row r="38" spans="1:12" ht="15.95" customHeight="1" x14ac:dyDescent="0.25">
      <c r="A38" s="2" t="s">
        <v>170</v>
      </c>
      <c r="B38" s="3" t="s">
        <v>523</v>
      </c>
      <c r="C38" s="4" t="s">
        <v>32</v>
      </c>
      <c r="D38" s="24" t="s">
        <v>105</v>
      </c>
      <c r="E38" s="2" t="s">
        <v>56</v>
      </c>
      <c r="F38" s="2" t="s">
        <v>99</v>
      </c>
      <c r="G38" s="2" t="s">
        <v>54</v>
      </c>
      <c r="H38" s="2" t="s">
        <v>171</v>
      </c>
      <c r="I38" s="2" t="s">
        <v>143</v>
      </c>
      <c r="J38" s="2">
        <f t="shared" ca="1" si="1"/>
        <v>7</v>
      </c>
      <c r="K38" s="2" t="s">
        <v>78</v>
      </c>
      <c r="L38" s="2" t="s">
        <v>95</v>
      </c>
    </row>
    <row r="39" spans="1:12" ht="15.95" customHeight="1" x14ac:dyDescent="0.25">
      <c r="A39" s="6" t="s">
        <v>172</v>
      </c>
      <c r="B39" s="7" t="s">
        <v>524</v>
      </c>
      <c r="C39" s="11" t="s">
        <v>32</v>
      </c>
      <c r="D39" s="20" t="s">
        <v>105</v>
      </c>
      <c r="E39" s="6" t="s">
        <v>46</v>
      </c>
      <c r="F39" s="6" t="s">
        <v>99</v>
      </c>
      <c r="G39" s="6" t="s">
        <v>47</v>
      </c>
      <c r="H39" s="6" t="s">
        <v>173</v>
      </c>
      <c r="I39" s="6" t="s">
        <v>174</v>
      </c>
      <c r="J39" s="6">
        <f t="shared" ca="1" si="1"/>
        <v>7</v>
      </c>
      <c r="K39" s="6" t="s">
        <v>78</v>
      </c>
      <c r="L39" s="6" t="s">
        <v>70</v>
      </c>
    </row>
    <row r="40" spans="1:12" ht="15.95" customHeight="1" x14ac:dyDescent="0.25">
      <c r="A40" s="2" t="s">
        <v>175</v>
      </c>
      <c r="B40" s="3" t="s">
        <v>525</v>
      </c>
      <c r="C40" s="21" t="s">
        <v>111</v>
      </c>
      <c r="D40" s="24" t="s">
        <v>105</v>
      </c>
      <c r="E40" s="2" t="s">
        <v>133</v>
      </c>
      <c r="F40" s="2" t="s">
        <v>107</v>
      </c>
      <c r="G40" s="2" t="s">
        <v>41</v>
      </c>
      <c r="H40" s="2" t="s">
        <v>176</v>
      </c>
      <c r="I40" s="2" t="s">
        <v>177</v>
      </c>
      <c r="J40" s="2">
        <f t="shared" ca="1" si="1"/>
        <v>1</v>
      </c>
      <c r="K40" s="2" t="s">
        <v>89</v>
      </c>
      <c r="L40" s="2" t="s">
        <v>70</v>
      </c>
    </row>
    <row r="41" spans="1:12" ht="15.95" customHeight="1" x14ac:dyDescent="0.25">
      <c r="A41" s="6" t="s">
        <v>178</v>
      </c>
      <c r="B41" s="7" t="s">
        <v>515</v>
      </c>
      <c r="C41" s="15" t="s">
        <v>81</v>
      </c>
      <c r="D41" s="16" t="s">
        <v>82</v>
      </c>
      <c r="E41" s="6" t="s">
        <v>133</v>
      </c>
      <c r="F41" s="6" t="s">
        <v>71</v>
      </c>
      <c r="G41" s="6" t="s">
        <v>47</v>
      </c>
      <c r="H41" s="6" t="s">
        <v>179</v>
      </c>
      <c r="I41" s="6" t="s">
        <v>180</v>
      </c>
      <c r="J41" s="6">
        <f t="shared" ca="1" si="1"/>
        <v>10</v>
      </c>
      <c r="K41" s="6" t="s">
        <v>89</v>
      </c>
      <c r="L41" s="6" t="s">
        <v>70</v>
      </c>
    </row>
    <row r="42" spans="1:12" ht="15.95" customHeight="1" x14ac:dyDescent="0.25">
      <c r="A42" s="2" t="s">
        <v>181</v>
      </c>
      <c r="B42" s="3" t="s">
        <v>526</v>
      </c>
      <c r="C42" s="19" t="s">
        <v>81</v>
      </c>
      <c r="D42" s="14" t="s">
        <v>65</v>
      </c>
      <c r="E42" s="2" t="s">
        <v>46</v>
      </c>
      <c r="F42" s="2" t="s">
        <v>66</v>
      </c>
      <c r="G42" s="2" t="s">
        <v>93</v>
      </c>
      <c r="H42" s="2" t="s">
        <v>162</v>
      </c>
      <c r="I42" s="2" t="s">
        <v>182</v>
      </c>
      <c r="J42" s="2">
        <f t="shared" ca="1" si="1"/>
        <v>11</v>
      </c>
      <c r="K42" s="2" t="s">
        <v>69</v>
      </c>
      <c r="L42" s="2" t="s">
        <v>95</v>
      </c>
    </row>
    <row r="43" spans="1:12" ht="15.95" customHeight="1" x14ac:dyDescent="0.25">
      <c r="A43" s="6" t="s">
        <v>183</v>
      </c>
      <c r="B43" s="7" t="s">
        <v>518</v>
      </c>
      <c r="C43" s="22" t="s">
        <v>111</v>
      </c>
      <c r="D43" s="20" t="s">
        <v>105</v>
      </c>
      <c r="E43" s="6" t="s">
        <v>106</v>
      </c>
      <c r="F43" s="6" t="s">
        <v>107</v>
      </c>
      <c r="G43" s="6" t="s">
        <v>35</v>
      </c>
      <c r="H43" s="6" t="s">
        <v>184</v>
      </c>
      <c r="I43" s="6" t="s">
        <v>177</v>
      </c>
      <c r="J43" s="6">
        <f t="shared" ca="1" si="1"/>
        <v>5</v>
      </c>
      <c r="K43" s="6" t="s">
        <v>118</v>
      </c>
      <c r="L43" s="6" t="s">
        <v>95</v>
      </c>
    </row>
    <row r="44" spans="1:12" ht="15.95" customHeight="1" x14ac:dyDescent="0.25">
      <c r="A44" s="2" t="s">
        <v>185</v>
      </c>
      <c r="B44" s="3" t="s">
        <v>527</v>
      </c>
      <c r="C44" s="4" t="s">
        <v>32</v>
      </c>
      <c r="D44" s="17" t="s">
        <v>82</v>
      </c>
      <c r="E44" s="2" t="s">
        <v>76</v>
      </c>
      <c r="F44" s="2" t="s">
        <v>92</v>
      </c>
      <c r="G44" s="2" t="s">
        <v>41</v>
      </c>
      <c r="H44" s="2" t="s">
        <v>186</v>
      </c>
      <c r="I44" s="2" t="s">
        <v>187</v>
      </c>
      <c r="J44" s="2">
        <f t="shared" ca="1" si="1"/>
        <v>7</v>
      </c>
      <c r="K44" s="2" t="s">
        <v>78</v>
      </c>
      <c r="L44" s="2" t="s">
        <v>95</v>
      </c>
    </row>
    <row r="45" spans="1:12" ht="15.95" customHeight="1" x14ac:dyDescent="0.25">
      <c r="A45" s="6" t="s">
        <v>188</v>
      </c>
      <c r="B45" s="7" t="s">
        <v>506</v>
      </c>
      <c r="C45" s="15" t="s">
        <v>81</v>
      </c>
      <c r="D45" s="20" t="s">
        <v>105</v>
      </c>
      <c r="E45" s="6" t="s">
        <v>34</v>
      </c>
      <c r="F45" s="6" t="s">
        <v>66</v>
      </c>
      <c r="G45" s="6" t="s">
        <v>58</v>
      </c>
      <c r="H45" s="6" t="s">
        <v>189</v>
      </c>
      <c r="I45" s="6" t="s">
        <v>190</v>
      </c>
      <c r="J45" s="6">
        <f t="shared" ca="1" si="1"/>
        <v>11</v>
      </c>
      <c r="K45" s="6" t="s">
        <v>69</v>
      </c>
      <c r="L45" s="6" t="s">
        <v>70</v>
      </c>
    </row>
    <row r="46" spans="1:12" ht="15.95" customHeight="1" x14ac:dyDescent="0.25">
      <c r="A46" s="2" t="s">
        <v>191</v>
      </c>
      <c r="B46" s="3" t="s">
        <v>493</v>
      </c>
      <c r="C46" s="4" t="s">
        <v>32</v>
      </c>
      <c r="D46" s="5" t="s">
        <v>33</v>
      </c>
      <c r="E46" s="2" t="s">
        <v>46</v>
      </c>
      <c r="F46" s="2" t="s">
        <v>99</v>
      </c>
      <c r="G46" s="2" t="s">
        <v>58</v>
      </c>
      <c r="H46" s="2" t="s">
        <v>192</v>
      </c>
      <c r="I46" s="2" t="s">
        <v>73</v>
      </c>
      <c r="J46" s="2">
        <f t="shared" ca="1" si="1"/>
        <v>46</v>
      </c>
      <c r="K46" s="2" t="s">
        <v>118</v>
      </c>
      <c r="L46" s="2" t="s">
        <v>95</v>
      </c>
    </row>
    <row r="47" spans="1:12" ht="15.95" customHeight="1" x14ac:dyDescent="0.25">
      <c r="A47" s="6" t="s">
        <v>193</v>
      </c>
      <c r="B47" s="7" t="s">
        <v>528</v>
      </c>
      <c r="C47" s="22" t="s">
        <v>111</v>
      </c>
      <c r="D47" s="8" t="s">
        <v>33</v>
      </c>
      <c r="E47" s="6" t="s">
        <v>133</v>
      </c>
      <c r="F47" s="6" t="s">
        <v>99</v>
      </c>
      <c r="G47" s="6" t="s">
        <v>44</v>
      </c>
      <c r="H47" s="6" t="s">
        <v>194</v>
      </c>
      <c r="I47" s="6" t="s">
        <v>73</v>
      </c>
      <c r="J47" s="6">
        <f t="shared" ca="1" si="1"/>
        <v>177</v>
      </c>
      <c r="K47" s="6" t="s">
        <v>121</v>
      </c>
      <c r="L47" s="6" t="s">
        <v>70</v>
      </c>
    </row>
    <row r="48" spans="1:12" ht="15.95" customHeight="1" x14ac:dyDescent="0.25">
      <c r="A48" s="2" t="s">
        <v>195</v>
      </c>
      <c r="B48" s="3" t="s">
        <v>529</v>
      </c>
      <c r="C48" s="19" t="s">
        <v>81</v>
      </c>
      <c r="D48" s="24" t="s">
        <v>105</v>
      </c>
      <c r="E48" s="2" t="s">
        <v>53</v>
      </c>
      <c r="F48" s="2" t="s">
        <v>66</v>
      </c>
      <c r="G48" s="2" t="s">
        <v>41</v>
      </c>
      <c r="H48" s="2" t="s">
        <v>196</v>
      </c>
      <c r="I48" s="2" t="s">
        <v>197</v>
      </c>
      <c r="J48" s="2">
        <f t="shared" ca="1" si="1"/>
        <v>7</v>
      </c>
      <c r="K48" s="2" t="s">
        <v>89</v>
      </c>
      <c r="L48" s="2" t="s">
        <v>70</v>
      </c>
    </row>
    <row r="49" spans="1:12" ht="15.95" customHeight="1" x14ac:dyDescent="0.25">
      <c r="A49" s="6" t="s">
        <v>42</v>
      </c>
      <c r="B49" s="7" t="s">
        <v>530</v>
      </c>
      <c r="C49" s="11" t="s">
        <v>32</v>
      </c>
      <c r="D49" s="12" t="s">
        <v>43</v>
      </c>
      <c r="E49" s="6" t="s">
        <v>39</v>
      </c>
      <c r="F49" s="6" t="s">
        <v>71</v>
      </c>
      <c r="G49" s="6" t="s">
        <v>44</v>
      </c>
      <c r="H49" s="6" t="s">
        <v>198</v>
      </c>
      <c r="I49" s="6" t="s">
        <v>73</v>
      </c>
      <c r="J49" s="6">
        <f t="shared" ca="1" si="1"/>
        <v>178</v>
      </c>
      <c r="K49" s="6" t="s">
        <v>121</v>
      </c>
      <c r="L49" s="6" t="s">
        <v>90</v>
      </c>
    </row>
    <row r="50" spans="1:12" ht="15.95" customHeight="1" x14ac:dyDescent="0.25">
      <c r="A50" s="2" t="s">
        <v>199</v>
      </c>
      <c r="B50" s="3" t="s">
        <v>496</v>
      </c>
      <c r="C50" s="19" t="s">
        <v>81</v>
      </c>
      <c r="D50" s="23" t="s">
        <v>43</v>
      </c>
      <c r="E50" s="2" t="s">
        <v>34</v>
      </c>
      <c r="F50" s="2" t="s">
        <v>96</v>
      </c>
      <c r="G50" s="2" t="s">
        <v>35</v>
      </c>
      <c r="H50" s="2" t="s">
        <v>200</v>
      </c>
      <c r="I50" s="2" t="s">
        <v>73</v>
      </c>
      <c r="J50" s="2">
        <f t="shared" ca="1" si="1"/>
        <v>116</v>
      </c>
      <c r="K50" s="2" t="s">
        <v>69</v>
      </c>
      <c r="L50" s="2" t="s">
        <v>70</v>
      </c>
    </row>
    <row r="51" spans="1:12" ht="15.95" customHeight="1" x14ac:dyDescent="0.25">
      <c r="A51" s="6" t="s">
        <v>201</v>
      </c>
      <c r="B51" s="7" t="s">
        <v>531</v>
      </c>
      <c r="C51" s="15" t="s">
        <v>81</v>
      </c>
      <c r="D51" s="16" t="s">
        <v>82</v>
      </c>
      <c r="E51" s="6" t="s">
        <v>39</v>
      </c>
      <c r="F51" s="6" t="s">
        <v>92</v>
      </c>
      <c r="G51" s="6" t="s">
        <v>58</v>
      </c>
      <c r="H51" s="6" t="s">
        <v>109</v>
      </c>
      <c r="I51" s="6" t="s">
        <v>202</v>
      </c>
      <c r="J51" s="6">
        <f t="shared" ca="1" si="1"/>
        <v>5</v>
      </c>
      <c r="K51" s="6" t="s">
        <v>78</v>
      </c>
      <c r="L51" s="6" t="s">
        <v>70</v>
      </c>
    </row>
    <row r="52" spans="1:12" ht="15.95" customHeight="1" x14ac:dyDescent="0.25">
      <c r="A52" s="2" t="s">
        <v>203</v>
      </c>
      <c r="B52" s="3" t="s">
        <v>532</v>
      </c>
      <c r="C52" s="19" t="s">
        <v>81</v>
      </c>
      <c r="D52" s="10" t="s">
        <v>38</v>
      </c>
      <c r="E52" s="2" t="s">
        <v>46</v>
      </c>
      <c r="F52" s="2" t="s">
        <v>71</v>
      </c>
      <c r="G52" s="2" t="s">
        <v>49</v>
      </c>
      <c r="H52" s="2" t="s">
        <v>204</v>
      </c>
      <c r="I52" s="2" t="s">
        <v>73</v>
      </c>
      <c r="J52" s="2">
        <f t="shared" ca="1" si="1"/>
        <v>215</v>
      </c>
      <c r="K52" s="2" t="s">
        <v>74</v>
      </c>
      <c r="L52" s="2" t="s">
        <v>70</v>
      </c>
    </row>
    <row r="53" spans="1:12" ht="15.95" customHeight="1" x14ac:dyDescent="0.25">
      <c r="A53" s="6" t="s">
        <v>205</v>
      </c>
      <c r="B53" s="7" t="s">
        <v>533</v>
      </c>
      <c r="C53" s="11" t="s">
        <v>32</v>
      </c>
      <c r="D53" s="9" t="s">
        <v>38</v>
      </c>
      <c r="E53" s="6" t="s">
        <v>39</v>
      </c>
      <c r="F53" s="6" t="s">
        <v>92</v>
      </c>
      <c r="G53" s="6" t="s">
        <v>35</v>
      </c>
      <c r="H53" s="6" t="s">
        <v>206</v>
      </c>
      <c r="I53" s="6" t="s">
        <v>73</v>
      </c>
      <c r="J53" s="6">
        <f t="shared" ca="1" si="1"/>
        <v>57</v>
      </c>
      <c r="K53" s="6" t="s">
        <v>89</v>
      </c>
      <c r="L53" s="6" t="s">
        <v>90</v>
      </c>
    </row>
    <row r="54" spans="1:12" ht="15.95" customHeight="1" x14ac:dyDescent="0.25">
      <c r="A54" s="2" t="s">
        <v>207</v>
      </c>
      <c r="B54" s="3" t="s">
        <v>534</v>
      </c>
      <c r="C54" s="19" t="s">
        <v>81</v>
      </c>
      <c r="D54" s="14" t="s">
        <v>65</v>
      </c>
      <c r="E54" s="2" t="s">
        <v>34</v>
      </c>
      <c r="F54" s="2" t="s">
        <v>120</v>
      </c>
      <c r="G54" s="2" t="s">
        <v>93</v>
      </c>
      <c r="H54" s="2" t="s">
        <v>88</v>
      </c>
      <c r="I54" s="2" t="s">
        <v>154</v>
      </c>
      <c r="J54" s="2">
        <f t="shared" ca="1" si="1"/>
        <v>12</v>
      </c>
      <c r="K54" s="2" t="s">
        <v>78</v>
      </c>
      <c r="L54" s="2" t="s">
        <v>70</v>
      </c>
    </row>
    <row r="55" spans="1:12" ht="15.95" customHeight="1" x14ac:dyDescent="0.25">
      <c r="A55" s="6" t="s">
        <v>208</v>
      </c>
      <c r="B55" s="7" t="s">
        <v>535</v>
      </c>
      <c r="C55" s="15" t="s">
        <v>81</v>
      </c>
      <c r="D55" s="18" t="s">
        <v>65</v>
      </c>
      <c r="E55" s="6" t="s">
        <v>56</v>
      </c>
      <c r="F55" s="6" t="s">
        <v>107</v>
      </c>
      <c r="G55" s="6" t="s">
        <v>35</v>
      </c>
      <c r="H55" s="6" t="s">
        <v>88</v>
      </c>
      <c r="I55" s="6" t="s">
        <v>209</v>
      </c>
      <c r="J55" s="6">
        <f t="shared" ca="1" si="1"/>
        <v>13</v>
      </c>
      <c r="K55" s="6" t="s">
        <v>121</v>
      </c>
      <c r="L55" s="6" t="s">
        <v>79</v>
      </c>
    </row>
    <row r="56" spans="1:12" ht="15.95" customHeight="1" x14ac:dyDescent="0.25">
      <c r="A56" s="2" t="s">
        <v>210</v>
      </c>
      <c r="B56" s="3" t="s">
        <v>505</v>
      </c>
      <c r="C56" s="4" t="s">
        <v>32</v>
      </c>
      <c r="D56" s="24" t="s">
        <v>105</v>
      </c>
      <c r="E56" s="2" t="s">
        <v>133</v>
      </c>
      <c r="F56" s="2" t="s">
        <v>96</v>
      </c>
      <c r="G56" s="2" t="s">
        <v>41</v>
      </c>
      <c r="H56" s="2" t="s">
        <v>211</v>
      </c>
      <c r="I56" s="2" t="s">
        <v>212</v>
      </c>
      <c r="J56" s="2">
        <f t="shared" ca="1" si="1"/>
        <v>7</v>
      </c>
      <c r="K56" s="2" t="s">
        <v>121</v>
      </c>
      <c r="L56" s="2" t="s">
        <v>79</v>
      </c>
    </row>
    <row r="57" spans="1:12" ht="15.95" customHeight="1" x14ac:dyDescent="0.25">
      <c r="A57" s="6" t="s">
        <v>213</v>
      </c>
      <c r="B57" s="7" t="s">
        <v>536</v>
      </c>
      <c r="C57" s="15" t="s">
        <v>81</v>
      </c>
      <c r="D57" s="8" t="s">
        <v>33</v>
      </c>
      <c r="E57" s="6" t="s">
        <v>76</v>
      </c>
      <c r="F57" s="6" t="s">
        <v>92</v>
      </c>
      <c r="G57" s="6" t="s">
        <v>93</v>
      </c>
      <c r="H57" s="6" t="s">
        <v>214</v>
      </c>
      <c r="I57" s="6" t="s">
        <v>73</v>
      </c>
      <c r="J57" s="6">
        <f t="shared" ca="1" si="1"/>
        <v>213</v>
      </c>
      <c r="K57" s="6" t="s">
        <v>74</v>
      </c>
      <c r="L57" s="6" t="s">
        <v>70</v>
      </c>
    </row>
    <row r="58" spans="1:12" ht="15.95" customHeight="1" x14ac:dyDescent="0.25">
      <c r="A58" s="2" t="s">
        <v>215</v>
      </c>
      <c r="B58" s="3" t="s">
        <v>537</v>
      </c>
      <c r="C58" s="4" t="s">
        <v>32</v>
      </c>
      <c r="D58" s="14" t="s">
        <v>65</v>
      </c>
      <c r="E58" s="2" t="s">
        <v>46</v>
      </c>
      <c r="F58" s="2" t="s">
        <v>92</v>
      </c>
      <c r="G58" s="2" t="s">
        <v>41</v>
      </c>
      <c r="H58" s="2" t="s">
        <v>216</v>
      </c>
      <c r="I58" s="2" t="s">
        <v>179</v>
      </c>
      <c r="J58" s="2">
        <f t="shared" ca="1" si="1"/>
        <v>5</v>
      </c>
      <c r="K58" s="2" t="s">
        <v>118</v>
      </c>
      <c r="L58" s="2" t="s">
        <v>79</v>
      </c>
    </row>
    <row r="59" spans="1:12" ht="15.95" customHeight="1" x14ac:dyDescent="0.25">
      <c r="A59" s="6" t="s">
        <v>55</v>
      </c>
      <c r="B59" s="7" t="s">
        <v>538</v>
      </c>
      <c r="C59" s="11" t="s">
        <v>32</v>
      </c>
      <c r="D59" s="8" t="s">
        <v>33</v>
      </c>
      <c r="E59" s="6" t="s">
        <v>56</v>
      </c>
      <c r="F59" s="6" t="s">
        <v>99</v>
      </c>
      <c r="G59" s="6" t="s">
        <v>41</v>
      </c>
      <c r="H59" s="6" t="s">
        <v>217</v>
      </c>
      <c r="I59" s="6" t="s">
        <v>73</v>
      </c>
      <c r="J59" s="6">
        <f t="shared" ca="1" si="1"/>
        <v>145</v>
      </c>
      <c r="K59" s="6" t="s">
        <v>69</v>
      </c>
      <c r="L59" s="6" t="s">
        <v>90</v>
      </c>
    </row>
    <row r="60" spans="1:12" ht="15.95" customHeight="1" x14ac:dyDescent="0.25">
      <c r="A60" s="2" t="s">
        <v>218</v>
      </c>
      <c r="B60" s="3" t="s">
        <v>539</v>
      </c>
      <c r="C60" s="4" t="s">
        <v>32</v>
      </c>
      <c r="D60" s="24" t="s">
        <v>105</v>
      </c>
      <c r="E60" s="2" t="s">
        <v>76</v>
      </c>
      <c r="F60" s="2" t="s">
        <v>99</v>
      </c>
      <c r="G60" s="2" t="s">
        <v>93</v>
      </c>
      <c r="H60" s="2" t="s">
        <v>161</v>
      </c>
      <c r="I60" s="2" t="s">
        <v>219</v>
      </c>
      <c r="J60" s="2">
        <f t="shared" ca="1" si="1"/>
        <v>10</v>
      </c>
      <c r="K60" s="2" t="s">
        <v>74</v>
      </c>
      <c r="L60" s="2" t="s">
        <v>79</v>
      </c>
    </row>
    <row r="61" spans="1:12" ht="15.95" customHeight="1" x14ac:dyDescent="0.25">
      <c r="A61" s="6" t="s">
        <v>220</v>
      </c>
      <c r="B61" s="7" t="s">
        <v>498</v>
      </c>
      <c r="C61" s="22" t="s">
        <v>111</v>
      </c>
      <c r="D61" s="12" t="s">
        <v>43</v>
      </c>
      <c r="E61" s="6" t="s">
        <v>76</v>
      </c>
      <c r="F61" s="6" t="s">
        <v>96</v>
      </c>
      <c r="G61" s="6" t="s">
        <v>35</v>
      </c>
      <c r="H61" s="6" t="s">
        <v>221</v>
      </c>
      <c r="I61" s="6" t="s">
        <v>73</v>
      </c>
      <c r="J61" s="6">
        <f t="shared" ca="1" si="1"/>
        <v>35</v>
      </c>
      <c r="K61" s="6" t="s">
        <v>121</v>
      </c>
      <c r="L61" s="6" t="s">
        <v>90</v>
      </c>
    </row>
    <row r="62" spans="1:12" ht="15.95" customHeight="1" x14ac:dyDescent="0.25">
      <c r="A62" s="2" t="s">
        <v>222</v>
      </c>
      <c r="B62" s="3" t="s">
        <v>525</v>
      </c>
      <c r="C62" s="19" t="s">
        <v>81</v>
      </c>
      <c r="D62" s="14" t="s">
        <v>65</v>
      </c>
      <c r="E62" s="2" t="s">
        <v>133</v>
      </c>
      <c r="F62" s="2" t="s">
        <v>99</v>
      </c>
      <c r="G62" s="2" t="s">
        <v>44</v>
      </c>
      <c r="H62" s="2" t="s">
        <v>204</v>
      </c>
      <c r="I62" s="2" t="s">
        <v>84</v>
      </c>
      <c r="J62" s="2">
        <f t="shared" ca="1" si="1"/>
        <v>4</v>
      </c>
      <c r="K62" s="2" t="s">
        <v>69</v>
      </c>
      <c r="L62" s="2" t="s">
        <v>79</v>
      </c>
    </row>
    <row r="63" spans="1:12" ht="15.95" customHeight="1" x14ac:dyDescent="0.25">
      <c r="A63" s="6" t="s">
        <v>223</v>
      </c>
      <c r="B63" s="7" t="s">
        <v>540</v>
      </c>
      <c r="C63" s="15" t="s">
        <v>81</v>
      </c>
      <c r="D63" s="20" t="s">
        <v>105</v>
      </c>
      <c r="E63" s="6" t="s">
        <v>106</v>
      </c>
      <c r="F63" s="6" t="s">
        <v>99</v>
      </c>
      <c r="G63" s="6" t="s">
        <v>54</v>
      </c>
      <c r="H63" s="6" t="s">
        <v>179</v>
      </c>
      <c r="I63" s="6" t="s">
        <v>97</v>
      </c>
      <c r="J63" s="6">
        <f t="shared" ca="1" si="1"/>
        <v>2</v>
      </c>
      <c r="K63" s="6" t="s">
        <v>89</v>
      </c>
      <c r="L63" s="6" t="s">
        <v>70</v>
      </c>
    </row>
    <row r="64" spans="1:12" ht="15.95" customHeight="1" x14ac:dyDescent="0.25">
      <c r="A64" s="2" t="s">
        <v>224</v>
      </c>
      <c r="B64" s="3" t="s">
        <v>494</v>
      </c>
      <c r="C64" s="19" t="s">
        <v>81</v>
      </c>
      <c r="D64" s="14" t="s">
        <v>65</v>
      </c>
      <c r="E64" s="2" t="s">
        <v>39</v>
      </c>
      <c r="F64" s="2" t="s">
        <v>66</v>
      </c>
      <c r="G64" s="2" t="s">
        <v>47</v>
      </c>
      <c r="H64" s="2" t="s">
        <v>225</v>
      </c>
      <c r="I64" s="2" t="s">
        <v>136</v>
      </c>
      <c r="J64" s="2">
        <f t="shared" ca="1" si="1"/>
        <v>12</v>
      </c>
      <c r="K64" s="2" t="s">
        <v>69</v>
      </c>
      <c r="L64" s="2" t="s">
        <v>70</v>
      </c>
    </row>
    <row r="65" spans="1:12" ht="15.95" customHeight="1" x14ac:dyDescent="0.25">
      <c r="A65" s="6" t="s">
        <v>226</v>
      </c>
      <c r="B65" s="7" t="s">
        <v>541</v>
      </c>
      <c r="C65" s="15" t="s">
        <v>81</v>
      </c>
      <c r="D65" s="18" t="s">
        <v>65</v>
      </c>
      <c r="E65" s="6" t="s">
        <v>46</v>
      </c>
      <c r="F65" s="6" t="s">
        <v>107</v>
      </c>
      <c r="G65" s="6" t="s">
        <v>54</v>
      </c>
      <c r="H65" s="6" t="s">
        <v>154</v>
      </c>
      <c r="I65" s="6" t="s">
        <v>227</v>
      </c>
      <c r="J65" s="6">
        <f t="shared" ca="1" si="1"/>
        <v>5</v>
      </c>
      <c r="K65" s="6" t="s">
        <v>74</v>
      </c>
      <c r="L65" s="6" t="s">
        <v>70</v>
      </c>
    </row>
    <row r="66" spans="1:12" ht="15.95" customHeight="1" x14ac:dyDescent="0.25">
      <c r="A66" s="2" t="s">
        <v>228</v>
      </c>
      <c r="B66" s="3" t="s">
        <v>542</v>
      </c>
      <c r="C66" s="19" t="s">
        <v>81</v>
      </c>
      <c r="D66" s="17" t="s">
        <v>82</v>
      </c>
      <c r="E66" s="2" t="s">
        <v>34</v>
      </c>
      <c r="F66" s="2" t="s">
        <v>71</v>
      </c>
      <c r="G66" s="2" t="s">
        <v>93</v>
      </c>
      <c r="H66" s="2" t="s">
        <v>229</v>
      </c>
      <c r="I66" s="2" t="s">
        <v>230</v>
      </c>
      <c r="J66" s="2">
        <f t="shared" ref="J66:J97" ca="1" si="2">IF(I66="—",TODAY()-H66,I66-H66)</f>
        <v>1</v>
      </c>
      <c r="K66" s="2" t="s">
        <v>78</v>
      </c>
      <c r="L66" s="2" t="s">
        <v>95</v>
      </c>
    </row>
    <row r="67" spans="1:12" ht="15.95" customHeight="1" x14ac:dyDescent="0.25">
      <c r="A67" s="6" t="s">
        <v>231</v>
      </c>
      <c r="B67" s="7" t="s">
        <v>514</v>
      </c>
      <c r="C67" s="22" t="s">
        <v>111</v>
      </c>
      <c r="D67" s="20" t="s">
        <v>105</v>
      </c>
      <c r="E67" s="6" t="s">
        <v>56</v>
      </c>
      <c r="F67" s="6" t="s">
        <v>120</v>
      </c>
      <c r="G67" s="6" t="s">
        <v>58</v>
      </c>
      <c r="H67" s="6" t="s">
        <v>219</v>
      </c>
      <c r="I67" s="6" t="s">
        <v>232</v>
      </c>
      <c r="J67" s="6">
        <f t="shared" ca="1" si="2"/>
        <v>5</v>
      </c>
      <c r="K67" s="6" t="s">
        <v>118</v>
      </c>
      <c r="L67" s="6" t="s">
        <v>70</v>
      </c>
    </row>
    <row r="68" spans="1:12" ht="15.95" customHeight="1" x14ac:dyDescent="0.25">
      <c r="A68" s="2" t="s">
        <v>233</v>
      </c>
      <c r="B68" s="3" t="s">
        <v>543</v>
      </c>
      <c r="C68" s="19" t="s">
        <v>81</v>
      </c>
      <c r="D68" s="10" t="s">
        <v>38</v>
      </c>
      <c r="E68" s="2" t="s">
        <v>83</v>
      </c>
      <c r="F68" s="2" t="s">
        <v>120</v>
      </c>
      <c r="G68" s="2" t="s">
        <v>47</v>
      </c>
      <c r="H68" s="2" t="s">
        <v>234</v>
      </c>
      <c r="I68" s="2" t="s">
        <v>73</v>
      </c>
      <c r="J68" s="2">
        <f t="shared" ca="1" si="2"/>
        <v>109</v>
      </c>
      <c r="K68" s="2" t="s">
        <v>74</v>
      </c>
      <c r="L68" s="2" t="s">
        <v>70</v>
      </c>
    </row>
    <row r="69" spans="1:12" ht="15.95" customHeight="1" x14ac:dyDescent="0.25">
      <c r="A69" s="6" t="s">
        <v>235</v>
      </c>
      <c r="B69" s="7" t="s">
        <v>544</v>
      </c>
      <c r="C69" s="11" t="s">
        <v>32</v>
      </c>
      <c r="D69" s="20" t="s">
        <v>105</v>
      </c>
      <c r="E69" s="6" t="s">
        <v>51</v>
      </c>
      <c r="F69" s="6" t="s">
        <v>92</v>
      </c>
      <c r="G69" s="6" t="s">
        <v>93</v>
      </c>
      <c r="H69" s="6" t="s">
        <v>206</v>
      </c>
      <c r="I69" s="6" t="s">
        <v>236</v>
      </c>
      <c r="J69" s="6">
        <f t="shared" ca="1" si="2"/>
        <v>6</v>
      </c>
      <c r="K69" s="6" t="s">
        <v>78</v>
      </c>
      <c r="L69" s="6" t="s">
        <v>70</v>
      </c>
    </row>
    <row r="70" spans="1:12" ht="15.95" customHeight="1" x14ac:dyDescent="0.25">
      <c r="A70" s="2" t="s">
        <v>48</v>
      </c>
      <c r="B70" s="3" t="s">
        <v>526</v>
      </c>
      <c r="C70" s="4" t="s">
        <v>32</v>
      </c>
      <c r="D70" s="10" t="s">
        <v>38</v>
      </c>
      <c r="E70" s="2" t="s">
        <v>39</v>
      </c>
      <c r="F70" s="2" t="s">
        <v>99</v>
      </c>
      <c r="G70" s="2" t="s">
        <v>49</v>
      </c>
      <c r="H70" s="2" t="s">
        <v>237</v>
      </c>
      <c r="I70" s="2" t="s">
        <v>73</v>
      </c>
      <c r="J70" s="2">
        <f t="shared" ca="1" si="2"/>
        <v>165</v>
      </c>
      <c r="K70" s="2" t="s">
        <v>74</v>
      </c>
      <c r="L70" s="2" t="s">
        <v>90</v>
      </c>
    </row>
    <row r="71" spans="1:12" ht="15.95" customHeight="1" x14ac:dyDescent="0.25">
      <c r="A71" s="6" t="s">
        <v>238</v>
      </c>
      <c r="B71" s="7" t="s">
        <v>493</v>
      </c>
      <c r="C71" s="15" t="s">
        <v>81</v>
      </c>
      <c r="D71" s="18" t="s">
        <v>65</v>
      </c>
      <c r="E71" s="6" t="s">
        <v>46</v>
      </c>
      <c r="F71" s="6" t="s">
        <v>99</v>
      </c>
      <c r="G71" s="6" t="s">
        <v>58</v>
      </c>
      <c r="H71" s="6" t="s">
        <v>239</v>
      </c>
      <c r="I71" s="6" t="s">
        <v>240</v>
      </c>
      <c r="J71" s="6">
        <f t="shared" ca="1" si="2"/>
        <v>13</v>
      </c>
      <c r="K71" s="6" t="s">
        <v>78</v>
      </c>
      <c r="L71" s="6" t="s">
        <v>90</v>
      </c>
    </row>
    <row r="72" spans="1:12" ht="15.95" customHeight="1" x14ac:dyDescent="0.25">
      <c r="A72" s="2" t="s">
        <v>241</v>
      </c>
      <c r="B72" s="3" t="s">
        <v>519</v>
      </c>
      <c r="C72" s="4" t="s">
        <v>32</v>
      </c>
      <c r="D72" s="5" t="s">
        <v>33</v>
      </c>
      <c r="E72" s="2" t="s">
        <v>83</v>
      </c>
      <c r="F72" s="2" t="s">
        <v>120</v>
      </c>
      <c r="G72" s="2" t="s">
        <v>47</v>
      </c>
      <c r="H72" s="2" t="s">
        <v>225</v>
      </c>
      <c r="I72" s="2" t="s">
        <v>73</v>
      </c>
      <c r="J72" s="2">
        <f t="shared" ca="1" si="2"/>
        <v>142</v>
      </c>
      <c r="K72" s="2" t="s">
        <v>118</v>
      </c>
      <c r="L72" s="2" t="s">
        <v>90</v>
      </c>
    </row>
    <row r="73" spans="1:12" ht="15.95" customHeight="1" x14ac:dyDescent="0.25">
      <c r="A73" s="6" t="s">
        <v>242</v>
      </c>
      <c r="B73" s="7" t="s">
        <v>534</v>
      </c>
      <c r="C73" s="22" t="s">
        <v>111</v>
      </c>
      <c r="D73" s="16" t="s">
        <v>82</v>
      </c>
      <c r="E73" s="6" t="s">
        <v>34</v>
      </c>
      <c r="F73" s="6" t="s">
        <v>92</v>
      </c>
      <c r="G73" s="6" t="s">
        <v>54</v>
      </c>
      <c r="H73" s="6" t="s">
        <v>67</v>
      </c>
      <c r="I73" s="6" t="s">
        <v>206</v>
      </c>
      <c r="J73" s="6">
        <f t="shared" ca="1" si="2"/>
        <v>14</v>
      </c>
      <c r="K73" s="6" t="s">
        <v>78</v>
      </c>
      <c r="L73" s="6" t="s">
        <v>90</v>
      </c>
    </row>
    <row r="74" spans="1:12" ht="15.95" customHeight="1" x14ac:dyDescent="0.25">
      <c r="A74" s="2" t="s">
        <v>243</v>
      </c>
      <c r="B74" s="3" t="s">
        <v>545</v>
      </c>
      <c r="C74" s="4" t="s">
        <v>32</v>
      </c>
      <c r="D74" s="14" t="s">
        <v>65</v>
      </c>
      <c r="E74" s="2" t="s">
        <v>46</v>
      </c>
      <c r="F74" s="2" t="s">
        <v>96</v>
      </c>
      <c r="G74" s="2" t="s">
        <v>41</v>
      </c>
      <c r="H74" s="2" t="s">
        <v>244</v>
      </c>
      <c r="I74" s="2" t="s">
        <v>138</v>
      </c>
      <c r="J74" s="2">
        <f t="shared" ca="1" si="2"/>
        <v>2</v>
      </c>
      <c r="K74" s="2" t="s">
        <v>74</v>
      </c>
      <c r="L74" s="2" t="s">
        <v>90</v>
      </c>
    </row>
    <row r="75" spans="1:12" ht="15.95" customHeight="1" x14ac:dyDescent="0.25">
      <c r="A75" s="6" t="s">
        <v>245</v>
      </c>
      <c r="B75" s="7" t="s">
        <v>497</v>
      </c>
      <c r="C75" s="22" t="s">
        <v>111</v>
      </c>
      <c r="D75" s="8" t="s">
        <v>33</v>
      </c>
      <c r="E75" s="6" t="s">
        <v>106</v>
      </c>
      <c r="F75" s="6" t="s">
        <v>96</v>
      </c>
      <c r="G75" s="6" t="s">
        <v>58</v>
      </c>
      <c r="H75" s="6" t="s">
        <v>246</v>
      </c>
      <c r="I75" s="6" t="s">
        <v>73</v>
      </c>
      <c r="J75" s="6">
        <f t="shared" ca="1" si="2"/>
        <v>90</v>
      </c>
      <c r="K75" s="6" t="s">
        <v>69</v>
      </c>
      <c r="L75" s="6" t="s">
        <v>70</v>
      </c>
    </row>
    <row r="76" spans="1:12" ht="15.95" customHeight="1" x14ac:dyDescent="0.25">
      <c r="A76" s="2" t="s">
        <v>247</v>
      </c>
      <c r="B76" s="3" t="s">
        <v>537</v>
      </c>
      <c r="C76" s="21" t="s">
        <v>111</v>
      </c>
      <c r="D76" s="17" t="s">
        <v>82</v>
      </c>
      <c r="E76" s="2" t="s">
        <v>133</v>
      </c>
      <c r="F76" s="2" t="s">
        <v>120</v>
      </c>
      <c r="G76" s="2" t="s">
        <v>44</v>
      </c>
      <c r="H76" s="2" t="s">
        <v>248</v>
      </c>
      <c r="I76" s="2" t="s">
        <v>234</v>
      </c>
      <c r="J76" s="2">
        <f t="shared" ca="1" si="2"/>
        <v>10</v>
      </c>
      <c r="K76" s="2" t="s">
        <v>74</v>
      </c>
      <c r="L76" s="2" t="s">
        <v>90</v>
      </c>
    </row>
    <row r="77" spans="1:12" ht="15.95" customHeight="1" x14ac:dyDescent="0.25">
      <c r="A77" s="6" t="s">
        <v>249</v>
      </c>
      <c r="B77" s="7" t="s">
        <v>546</v>
      </c>
      <c r="C77" s="15" t="s">
        <v>81</v>
      </c>
      <c r="D77" s="9" t="s">
        <v>38</v>
      </c>
      <c r="E77" s="6" t="s">
        <v>53</v>
      </c>
      <c r="F77" s="6" t="s">
        <v>120</v>
      </c>
      <c r="G77" s="6" t="s">
        <v>35</v>
      </c>
      <c r="H77" s="6" t="s">
        <v>250</v>
      </c>
      <c r="I77" s="6" t="s">
        <v>73</v>
      </c>
      <c r="J77" s="6">
        <f t="shared" ca="1" si="2"/>
        <v>167</v>
      </c>
      <c r="K77" s="6" t="s">
        <v>121</v>
      </c>
      <c r="L77" s="6" t="s">
        <v>70</v>
      </c>
    </row>
    <row r="78" spans="1:12" ht="15.95" customHeight="1" x14ac:dyDescent="0.25">
      <c r="A78" s="2" t="s">
        <v>251</v>
      </c>
      <c r="B78" s="3" t="s">
        <v>547</v>
      </c>
      <c r="C78" s="5" t="s">
        <v>37</v>
      </c>
      <c r="D78" s="17" t="s">
        <v>82</v>
      </c>
      <c r="E78" s="2" t="s">
        <v>56</v>
      </c>
      <c r="F78" s="2" t="s">
        <v>107</v>
      </c>
      <c r="G78" s="2" t="s">
        <v>58</v>
      </c>
      <c r="H78" s="2" t="s">
        <v>252</v>
      </c>
      <c r="I78" s="2" t="s">
        <v>253</v>
      </c>
      <c r="J78" s="2">
        <f t="shared" ca="1" si="2"/>
        <v>5</v>
      </c>
      <c r="K78" s="2" t="s">
        <v>121</v>
      </c>
      <c r="L78" s="2" t="s">
        <v>79</v>
      </c>
    </row>
    <row r="79" spans="1:12" ht="15.95" customHeight="1" x14ac:dyDescent="0.25">
      <c r="A79" s="6" t="s">
        <v>254</v>
      </c>
      <c r="B79" s="7" t="s">
        <v>520</v>
      </c>
      <c r="C79" s="11" t="s">
        <v>32</v>
      </c>
      <c r="D79" s="8" t="s">
        <v>33</v>
      </c>
      <c r="E79" s="6" t="s">
        <v>83</v>
      </c>
      <c r="F79" s="6" t="s">
        <v>71</v>
      </c>
      <c r="G79" s="6" t="s">
        <v>47</v>
      </c>
      <c r="H79" s="6" t="s">
        <v>255</v>
      </c>
      <c r="I79" s="6" t="s">
        <v>73</v>
      </c>
      <c r="J79" s="6">
        <f t="shared" ca="1" si="2"/>
        <v>95</v>
      </c>
      <c r="K79" s="6" t="s">
        <v>69</v>
      </c>
      <c r="L79" s="6" t="s">
        <v>95</v>
      </c>
    </row>
    <row r="80" spans="1:12" ht="15.95" customHeight="1" x14ac:dyDescent="0.25">
      <c r="A80" s="2" t="s">
        <v>256</v>
      </c>
      <c r="B80" s="3" t="s">
        <v>537</v>
      </c>
      <c r="C80" s="4" t="s">
        <v>32</v>
      </c>
      <c r="D80" s="24" t="s">
        <v>105</v>
      </c>
      <c r="E80" s="2" t="s">
        <v>39</v>
      </c>
      <c r="F80" s="2" t="s">
        <v>92</v>
      </c>
      <c r="G80" s="2" t="s">
        <v>54</v>
      </c>
      <c r="H80" s="2" t="s">
        <v>257</v>
      </c>
      <c r="I80" s="2" t="s">
        <v>227</v>
      </c>
      <c r="J80" s="2">
        <f t="shared" ca="1" si="2"/>
        <v>12</v>
      </c>
      <c r="K80" s="2" t="s">
        <v>89</v>
      </c>
      <c r="L80" s="2" t="s">
        <v>79</v>
      </c>
    </row>
    <row r="81" spans="1:12" ht="15.95" customHeight="1" x14ac:dyDescent="0.25">
      <c r="A81" s="6" t="s">
        <v>258</v>
      </c>
      <c r="B81" s="7" t="s">
        <v>510</v>
      </c>
      <c r="C81" s="15" t="s">
        <v>81</v>
      </c>
      <c r="D81" s="20" t="s">
        <v>105</v>
      </c>
      <c r="E81" s="6" t="s">
        <v>133</v>
      </c>
      <c r="F81" s="6" t="s">
        <v>96</v>
      </c>
      <c r="G81" s="6" t="s">
        <v>41</v>
      </c>
      <c r="H81" s="6" t="s">
        <v>142</v>
      </c>
      <c r="I81" s="6" t="s">
        <v>117</v>
      </c>
      <c r="J81" s="6">
        <f t="shared" ca="1" si="2"/>
        <v>1</v>
      </c>
      <c r="K81" s="6" t="s">
        <v>118</v>
      </c>
      <c r="L81" s="6" t="s">
        <v>95</v>
      </c>
    </row>
    <row r="82" spans="1:12" ht="15.95" customHeight="1" x14ac:dyDescent="0.25">
      <c r="A82" s="2" t="s">
        <v>259</v>
      </c>
      <c r="B82" s="3" t="s">
        <v>530</v>
      </c>
      <c r="C82" s="5" t="s">
        <v>37</v>
      </c>
      <c r="D82" s="14" t="s">
        <v>65</v>
      </c>
      <c r="E82" s="2" t="s">
        <v>53</v>
      </c>
      <c r="F82" s="2" t="s">
        <v>96</v>
      </c>
      <c r="G82" s="2" t="s">
        <v>35</v>
      </c>
      <c r="H82" s="2" t="s">
        <v>260</v>
      </c>
      <c r="I82" s="2" t="s">
        <v>261</v>
      </c>
      <c r="J82" s="2">
        <f t="shared" ca="1" si="2"/>
        <v>8</v>
      </c>
      <c r="K82" s="2" t="s">
        <v>118</v>
      </c>
      <c r="L82" s="2" t="s">
        <v>70</v>
      </c>
    </row>
    <row r="83" spans="1:12" ht="15.95" customHeight="1" x14ac:dyDescent="0.25">
      <c r="A83" s="6" t="s">
        <v>262</v>
      </c>
      <c r="B83" s="7" t="s">
        <v>548</v>
      </c>
      <c r="C83" s="15" t="s">
        <v>81</v>
      </c>
      <c r="D83" s="16" t="s">
        <v>82</v>
      </c>
      <c r="E83" s="6" t="s">
        <v>106</v>
      </c>
      <c r="F83" s="6" t="s">
        <v>66</v>
      </c>
      <c r="G83" s="6" t="s">
        <v>54</v>
      </c>
      <c r="H83" s="6" t="s">
        <v>84</v>
      </c>
      <c r="I83" s="6" t="s">
        <v>85</v>
      </c>
      <c r="J83" s="6">
        <f t="shared" ca="1" si="2"/>
        <v>6</v>
      </c>
      <c r="K83" s="6" t="s">
        <v>78</v>
      </c>
      <c r="L83" s="6" t="s">
        <v>70</v>
      </c>
    </row>
    <row r="84" spans="1:12" ht="15.95" customHeight="1" x14ac:dyDescent="0.25">
      <c r="A84" s="2" t="s">
        <v>263</v>
      </c>
      <c r="B84" s="3" t="s">
        <v>549</v>
      </c>
      <c r="C84" s="19" t="s">
        <v>81</v>
      </c>
      <c r="D84" s="17" t="s">
        <v>82</v>
      </c>
      <c r="E84" s="2" t="s">
        <v>106</v>
      </c>
      <c r="F84" s="2" t="s">
        <v>99</v>
      </c>
      <c r="G84" s="2" t="s">
        <v>41</v>
      </c>
      <c r="H84" s="2" t="s">
        <v>264</v>
      </c>
      <c r="I84" s="2" t="s">
        <v>265</v>
      </c>
      <c r="J84" s="2">
        <f t="shared" ca="1" si="2"/>
        <v>6</v>
      </c>
      <c r="K84" s="2" t="s">
        <v>118</v>
      </c>
      <c r="L84" s="2" t="s">
        <v>70</v>
      </c>
    </row>
    <row r="85" spans="1:12" ht="15.95" customHeight="1" x14ac:dyDescent="0.25">
      <c r="A85" s="6" t="s">
        <v>266</v>
      </c>
      <c r="B85" s="7" t="s">
        <v>543</v>
      </c>
      <c r="C85" s="8" t="s">
        <v>37</v>
      </c>
      <c r="D85" s="16" t="s">
        <v>82</v>
      </c>
      <c r="E85" s="6" t="s">
        <v>83</v>
      </c>
      <c r="F85" s="6" t="s">
        <v>71</v>
      </c>
      <c r="G85" s="6" t="s">
        <v>47</v>
      </c>
      <c r="H85" s="6" t="s">
        <v>267</v>
      </c>
      <c r="I85" s="6" t="s">
        <v>248</v>
      </c>
      <c r="J85" s="6">
        <f t="shared" ca="1" si="2"/>
        <v>10</v>
      </c>
      <c r="K85" s="6" t="s">
        <v>69</v>
      </c>
      <c r="L85" s="6" t="s">
        <v>90</v>
      </c>
    </row>
    <row r="86" spans="1:12" ht="15.95" customHeight="1" x14ac:dyDescent="0.25">
      <c r="A86" s="2" t="s">
        <v>268</v>
      </c>
      <c r="B86" s="3" t="s">
        <v>534</v>
      </c>
      <c r="C86" s="19" t="s">
        <v>81</v>
      </c>
      <c r="D86" s="24" t="s">
        <v>105</v>
      </c>
      <c r="E86" s="2" t="s">
        <v>56</v>
      </c>
      <c r="F86" s="2" t="s">
        <v>66</v>
      </c>
      <c r="G86" s="2" t="s">
        <v>49</v>
      </c>
      <c r="H86" s="2" t="s">
        <v>269</v>
      </c>
      <c r="I86" s="2" t="s">
        <v>143</v>
      </c>
      <c r="J86" s="2">
        <f t="shared" ca="1" si="2"/>
        <v>2</v>
      </c>
      <c r="K86" s="2" t="s">
        <v>78</v>
      </c>
      <c r="L86" s="2" t="s">
        <v>79</v>
      </c>
    </row>
    <row r="87" spans="1:12" ht="15.95" customHeight="1" x14ac:dyDescent="0.25">
      <c r="A87" s="6" t="s">
        <v>270</v>
      </c>
      <c r="B87" s="7" t="s">
        <v>511</v>
      </c>
      <c r="C87" s="15" t="s">
        <v>81</v>
      </c>
      <c r="D87" s="9" t="s">
        <v>38</v>
      </c>
      <c r="E87" s="6" t="s">
        <v>53</v>
      </c>
      <c r="F87" s="6" t="s">
        <v>92</v>
      </c>
      <c r="G87" s="6" t="s">
        <v>47</v>
      </c>
      <c r="H87" s="6" t="s">
        <v>186</v>
      </c>
      <c r="I87" s="6" t="s">
        <v>73</v>
      </c>
      <c r="J87" s="6">
        <f t="shared" ca="1" si="2"/>
        <v>93</v>
      </c>
      <c r="K87" s="6" t="s">
        <v>69</v>
      </c>
      <c r="L87" s="6" t="s">
        <v>95</v>
      </c>
    </row>
    <row r="88" spans="1:12" ht="15.95" customHeight="1" x14ac:dyDescent="0.25">
      <c r="A88" s="2" t="s">
        <v>271</v>
      </c>
      <c r="B88" s="3" t="s">
        <v>539</v>
      </c>
      <c r="C88" s="21" t="s">
        <v>111</v>
      </c>
      <c r="D88" s="23" t="s">
        <v>43</v>
      </c>
      <c r="E88" s="2" t="s">
        <v>53</v>
      </c>
      <c r="F88" s="2" t="s">
        <v>92</v>
      </c>
      <c r="G88" s="2" t="s">
        <v>58</v>
      </c>
      <c r="H88" s="2" t="s">
        <v>212</v>
      </c>
      <c r="I88" s="2" t="s">
        <v>73</v>
      </c>
      <c r="J88" s="2">
        <f t="shared" ca="1" si="2"/>
        <v>128</v>
      </c>
      <c r="K88" s="2" t="s">
        <v>69</v>
      </c>
      <c r="L88" s="2" t="s">
        <v>90</v>
      </c>
    </row>
    <row r="89" spans="1:12" ht="15.95" customHeight="1" x14ac:dyDescent="0.25">
      <c r="A89" s="6" t="s">
        <v>272</v>
      </c>
      <c r="B89" s="7" t="s">
        <v>550</v>
      </c>
      <c r="C89" s="11" t="s">
        <v>32</v>
      </c>
      <c r="D89" s="18" t="s">
        <v>65</v>
      </c>
      <c r="E89" s="6" t="s">
        <v>83</v>
      </c>
      <c r="F89" s="6" t="s">
        <v>107</v>
      </c>
      <c r="G89" s="6" t="s">
        <v>47</v>
      </c>
      <c r="H89" s="6" t="s">
        <v>126</v>
      </c>
      <c r="I89" s="6" t="s">
        <v>273</v>
      </c>
      <c r="J89" s="6">
        <f t="shared" ca="1" si="2"/>
        <v>7</v>
      </c>
      <c r="K89" s="6" t="s">
        <v>69</v>
      </c>
      <c r="L89" s="6" t="s">
        <v>70</v>
      </c>
    </row>
    <row r="90" spans="1:12" ht="15.95" customHeight="1" x14ac:dyDescent="0.25">
      <c r="A90" s="2" t="s">
        <v>274</v>
      </c>
      <c r="B90" s="3" t="s">
        <v>551</v>
      </c>
      <c r="C90" s="19" t="s">
        <v>81</v>
      </c>
      <c r="D90" s="17" t="s">
        <v>82</v>
      </c>
      <c r="E90" s="2" t="s">
        <v>34</v>
      </c>
      <c r="F90" s="2" t="s">
        <v>107</v>
      </c>
      <c r="G90" s="2" t="s">
        <v>58</v>
      </c>
      <c r="H90" s="2" t="s">
        <v>275</v>
      </c>
      <c r="I90" s="2" t="s">
        <v>276</v>
      </c>
      <c r="J90" s="2">
        <f t="shared" ca="1" si="2"/>
        <v>6</v>
      </c>
      <c r="K90" s="2" t="s">
        <v>118</v>
      </c>
      <c r="L90" s="2" t="s">
        <v>90</v>
      </c>
    </row>
    <row r="91" spans="1:12" ht="15.95" customHeight="1" x14ac:dyDescent="0.25">
      <c r="A91" s="6" t="s">
        <v>277</v>
      </c>
      <c r="B91" s="7" t="s">
        <v>521</v>
      </c>
      <c r="C91" s="15" t="s">
        <v>81</v>
      </c>
      <c r="D91" s="18" t="s">
        <v>65</v>
      </c>
      <c r="E91" s="6" t="s">
        <v>34</v>
      </c>
      <c r="F91" s="6" t="s">
        <v>66</v>
      </c>
      <c r="G91" s="6" t="s">
        <v>35</v>
      </c>
      <c r="H91" s="6" t="s">
        <v>230</v>
      </c>
      <c r="I91" s="6" t="s">
        <v>278</v>
      </c>
      <c r="J91" s="6">
        <f t="shared" ca="1" si="2"/>
        <v>7</v>
      </c>
      <c r="K91" s="6" t="s">
        <v>121</v>
      </c>
      <c r="L91" s="6" t="s">
        <v>90</v>
      </c>
    </row>
    <row r="92" spans="1:12" ht="15.95" customHeight="1" x14ac:dyDescent="0.25">
      <c r="A92" s="2" t="s">
        <v>279</v>
      </c>
      <c r="B92" s="3" t="s">
        <v>496</v>
      </c>
      <c r="C92" s="21" t="s">
        <v>111</v>
      </c>
      <c r="D92" s="5" t="s">
        <v>33</v>
      </c>
      <c r="E92" s="2" t="s">
        <v>46</v>
      </c>
      <c r="F92" s="2" t="s">
        <v>99</v>
      </c>
      <c r="G92" s="2" t="s">
        <v>54</v>
      </c>
      <c r="H92" s="2" t="s">
        <v>280</v>
      </c>
      <c r="I92" s="2" t="s">
        <v>73</v>
      </c>
      <c r="J92" s="2">
        <f t="shared" ca="1" si="2"/>
        <v>108</v>
      </c>
      <c r="K92" s="2" t="s">
        <v>89</v>
      </c>
      <c r="L92" s="2" t="s">
        <v>70</v>
      </c>
    </row>
    <row r="93" spans="1:12" ht="15.95" customHeight="1" x14ac:dyDescent="0.25">
      <c r="A93" s="6" t="s">
        <v>281</v>
      </c>
      <c r="B93" s="7" t="s">
        <v>552</v>
      </c>
      <c r="C93" s="15" t="s">
        <v>81</v>
      </c>
      <c r="D93" s="16" t="s">
        <v>82</v>
      </c>
      <c r="E93" s="6" t="s">
        <v>76</v>
      </c>
      <c r="F93" s="6" t="s">
        <v>107</v>
      </c>
      <c r="G93" s="6" t="s">
        <v>35</v>
      </c>
      <c r="H93" s="6" t="s">
        <v>282</v>
      </c>
      <c r="I93" s="6" t="s">
        <v>283</v>
      </c>
      <c r="J93" s="6">
        <f t="shared" ca="1" si="2"/>
        <v>11</v>
      </c>
      <c r="K93" s="6" t="s">
        <v>118</v>
      </c>
      <c r="L93" s="6" t="s">
        <v>79</v>
      </c>
    </row>
    <row r="94" spans="1:12" ht="15.95" customHeight="1" x14ac:dyDescent="0.25">
      <c r="A94" s="2" t="s">
        <v>284</v>
      </c>
      <c r="B94" s="3" t="s">
        <v>506</v>
      </c>
      <c r="C94" s="21" t="s">
        <v>111</v>
      </c>
      <c r="D94" s="14" t="s">
        <v>65</v>
      </c>
      <c r="E94" s="2" t="s">
        <v>39</v>
      </c>
      <c r="F94" s="2" t="s">
        <v>120</v>
      </c>
      <c r="G94" s="2" t="s">
        <v>44</v>
      </c>
      <c r="H94" s="2" t="s">
        <v>285</v>
      </c>
      <c r="I94" s="2" t="s">
        <v>286</v>
      </c>
      <c r="J94" s="2">
        <f t="shared" ca="1" si="2"/>
        <v>7</v>
      </c>
      <c r="K94" s="2" t="s">
        <v>74</v>
      </c>
      <c r="L94" s="2" t="s">
        <v>95</v>
      </c>
    </row>
    <row r="95" spans="1:12" ht="15.95" customHeight="1" x14ac:dyDescent="0.25">
      <c r="A95" s="6" t="s">
        <v>287</v>
      </c>
      <c r="B95" s="7" t="s">
        <v>511</v>
      </c>
      <c r="C95" s="15" t="s">
        <v>81</v>
      </c>
      <c r="D95" s="16" t="s">
        <v>82</v>
      </c>
      <c r="E95" s="6" t="s">
        <v>76</v>
      </c>
      <c r="F95" s="6" t="s">
        <v>120</v>
      </c>
      <c r="G95" s="6" t="s">
        <v>41</v>
      </c>
      <c r="H95" s="6" t="s">
        <v>173</v>
      </c>
      <c r="I95" s="6" t="s">
        <v>288</v>
      </c>
      <c r="J95" s="6">
        <f t="shared" ca="1" si="2"/>
        <v>2</v>
      </c>
      <c r="K95" s="6" t="s">
        <v>78</v>
      </c>
      <c r="L95" s="6" t="s">
        <v>79</v>
      </c>
    </row>
    <row r="96" spans="1:12" ht="15.95" customHeight="1" x14ac:dyDescent="0.25">
      <c r="A96" s="2" t="s">
        <v>289</v>
      </c>
      <c r="B96" s="3" t="s">
        <v>553</v>
      </c>
      <c r="C96" s="19" t="s">
        <v>81</v>
      </c>
      <c r="D96" s="17" t="s">
        <v>82</v>
      </c>
      <c r="E96" s="2" t="s">
        <v>53</v>
      </c>
      <c r="F96" s="2" t="s">
        <v>71</v>
      </c>
      <c r="G96" s="2" t="s">
        <v>49</v>
      </c>
      <c r="H96" s="2" t="s">
        <v>143</v>
      </c>
      <c r="I96" s="2" t="s">
        <v>253</v>
      </c>
      <c r="J96" s="2">
        <f t="shared" ca="1" si="2"/>
        <v>4</v>
      </c>
      <c r="K96" s="2" t="s">
        <v>89</v>
      </c>
      <c r="L96" s="2" t="s">
        <v>70</v>
      </c>
    </row>
    <row r="97" spans="1:12" ht="15.95" customHeight="1" x14ac:dyDescent="0.25">
      <c r="A97" s="6" t="s">
        <v>290</v>
      </c>
      <c r="B97" s="7" t="s">
        <v>554</v>
      </c>
      <c r="C97" s="15" t="s">
        <v>81</v>
      </c>
      <c r="D97" s="16" t="s">
        <v>82</v>
      </c>
      <c r="E97" s="6" t="s">
        <v>76</v>
      </c>
      <c r="F97" s="6" t="s">
        <v>92</v>
      </c>
      <c r="G97" s="6" t="s">
        <v>47</v>
      </c>
      <c r="H97" s="6" t="s">
        <v>168</v>
      </c>
      <c r="I97" s="6" t="s">
        <v>197</v>
      </c>
      <c r="J97" s="6">
        <f t="shared" ca="1" si="2"/>
        <v>10</v>
      </c>
      <c r="K97" s="6" t="s">
        <v>118</v>
      </c>
      <c r="L97" s="6" t="s">
        <v>79</v>
      </c>
    </row>
    <row r="98" spans="1:12" ht="15.95" customHeight="1" x14ac:dyDescent="0.25">
      <c r="A98" s="2" t="s">
        <v>291</v>
      </c>
      <c r="B98" s="3" t="s">
        <v>511</v>
      </c>
      <c r="C98" s="21" t="s">
        <v>111</v>
      </c>
      <c r="D98" s="24" t="s">
        <v>105</v>
      </c>
      <c r="E98" s="2" t="s">
        <v>133</v>
      </c>
      <c r="F98" s="2" t="s">
        <v>107</v>
      </c>
      <c r="G98" s="2" t="s">
        <v>35</v>
      </c>
      <c r="H98" s="2" t="s">
        <v>154</v>
      </c>
      <c r="I98" s="2" t="s">
        <v>292</v>
      </c>
      <c r="J98" s="2">
        <f t="shared" ref="J98:J129" ca="1" si="3">IF(I98="—",TODAY()-H98,I98-H98)</f>
        <v>3</v>
      </c>
      <c r="K98" s="2" t="s">
        <v>118</v>
      </c>
      <c r="L98" s="2" t="s">
        <v>95</v>
      </c>
    </row>
    <row r="99" spans="1:12" ht="15.95" customHeight="1" x14ac:dyDescent="0.25">
      <c r="A99" s="6" t="s">
        <v>293</v>
      </c>
      <c r="B99" s="7" t="s">
        <v>512</v>
      </c>
      <c r="C99" s="22" t="s">
        <v>111</v>
      </c>
      <c r="D99" s="9" t="s">
        <v>38</v>
      </c>
      <c r="E99" s="6" t="s">
        <v>56</v>
      </c>
      <c r="F99" s="6" t="s">
        <v>92</v>
      </c>
      <c r="G99" s="6" t="s">
        <v>93</v>
      </c>
      <c r="H99" s="6" t="s">
        <v>294</v>
      </c>
      <c r="I99" s="6" t="s">
        <v>73</v>
      </c>
      <c r="J99" s="6">
        <f t="shared" ca="1" si="3"/>
        <v>118</v>
      </c>
      <c r="K99" s="6" t="s">
        <v>69</v>
      </c>
      <c r="L99" s="6" t="s">
        <v>95</v>
      </c>
    </row>
    <row r="100" spans="1:12" ht="15.95" customHeight="1" x14ac:dyDescent="0.25">
      <c r="A100" s="2" t="s">
        <v>295</v>
      </c>
      <c r="B100" s="3" t="s">
        <v>537</v>
      </c>
      <c r="C100" s="4" t="s">
        <v>32</v>
      </c>
      <c r="D100" s="23" t="s">
        <v>43</v>
      </c>
      <c r="E100" s="2" t="s">
        <v>133</v>
      </c>
      <c r="F100" s="2" t="s">
        <v>99</v>
      </c>
      <c r="G100" s="2" t="s">
        <v>41</v>
      </c>
      <c r="H100" s="2" t="s">
        <v>296</v>
      </c>
      <c r="I100" s="2" t="s">
        <v>73</v>
      </c>
      <c r="J100" s="2">
        <f t="shared" ca="1" si="3"/>
        <v>55</v>
      </c>
      <c r="K100" s="2" t="s">
        <v>69</v>
      </c>
      <c r="L100" s="2" t="s">
        <v>70</v>
      </c>
    </row>
    <row r="101" spans="1:12" ht="15.95" customHeight="1" x14ac:dyDescent="0.25">
      <c r="A101" s="6" t="s">
        <v>297</v>
      </c>
      <c r="B101" s="7" t="s">
        <v>541</v>
      </c>
      <c r="C101" s="22" t="s">
        <v>111</v>
      </c>
      <c r="D101" s="9" t="s">
        <v>38</v>
      </c>
      <c r="E101" s="6" t="s">
        <v>56</v>
      </c>
      <c r="F101" s="6" t="s">
        <v>96</v>
      </c>
      <c r="G101" s="6" t="s">
        <v>47</v>
      </c>
      <c r="H101" s="6" t="s">
        <v>269</v>
      </c>
      <c r="I101" s="6" t="s">
        <v>73</v>
      </c>
      <c r="J101" s="6">
        <f t="shared" ca="1" si="3"/>
        <v>161</v>
      </c>
      <c r="K101" s="6" t="s">
        <v>118</v>
      </c>
      <c r="L101" s="6" t="s">
        <v>90</v>
      </c>
    </row>
    <row r="102" spans="1:12" ht="15.95" customHeight="1" x14ac:dyDescent="0.25">
      <c r="A102" s="2" t="s">
        <v>298</v>
      </c>
      <c r="B102" s="3" t="s">
        <v>555</v>
      </c>
      <c r="C102" s="5" t="s">
        <v>37</v>
      </c>
      <c r="D102" s="24" t="s">
        <v>105</v>
      </c>
      <c r="E102" s="2" t="s">
        <v>133</v>
      </c>
      <c r="F102" s="2" t="s">
        <v>107</v>
      </c>
      <c r="G102" s="2" t="s">
        <v>49</v>
      </c>
      <c r="H102" s="2" t="s">
        <v>299</v>
      </c>
      <c r="I102" s="2" t="s">
        <v>196</v>
      </c>
      <c r="J102" s="2">
        <f t="shared" ca="1" si="3"/>
        <v>1</v>
      </c>
      <c r="K102" s="2" t="s">
        <v>89</v>
      </c>
      <c r="L102" s="2" t="s">
        <v>95</v>
      </c>
    </row>
    <row r="103" spans="1:12" ht="15.95" customHeight="1" x14ac:dyDescent="0.25">
      <c r="A103" s="6" t="s">
        <v>300</v>
      </c>
      <c r="B103" s="7" t="s">
        <v>546</v>
      </c>
      <c r="C103" s="15" t="s">
        <v>81</v>
      </c>
      <c r="D103" s="9" t="s">
        <v>38</v>
      </c>
      <c r="E103" s="6" t="s">
        <v>51</v>
      </c>
      <c r="F103" s="6" t="s">
        <v>96</v>
      </c>
      <c r="G103" s="6" t="s">
        <v>47</v>
      </c>
      <c r="H103" s="6" t="s">
        <v>216</v>
      </c>
      <c r="I103" s="6" t="s">
        <v>73</v>
      </c>
      <c r="J103" s="6">
        <f t="shared" ca="1" si="3"/>
        <v>151</v>
      </c>
      <c r="K103" s="6" t="s">
        <v>74</v>
      </c>
      <c r="L103" s="6" t="s">
        <v>95</v>
      </c>
    </row>
    <row r="104" spans="1:12" ht="15.95" customHeight="1" x14ac:dyDescent="0.25">
      <c r="A104" s="2" t="s">
        <v>301</v>
      </c>
      <c r="B104" s="3" t="s">
        <v>556</v>
      </c>
      <c r="C104" s="21" t="s">
        <v>111</v>
      </c>
      <c r="D104" s="17" t="s">
        <v>82</v>
      </c>
      <c r="E104" s="2" t="s">
        <v>46</v>
      </c>
      <c r="F104" s="2" t="s">
        <v>71</v>
      </c>
      <c r="G104" s="2" t="s">
        <v>58</v>
      </c>
      <c r="H104" s="2" t="s">
        <v>302</v>
      </c>
      <c r="I104" s="2" t="s">
        <v>303</v>
      </c>
      <c r="J104" s="2">
        <f t="shared" ca="1" si="3"/>
        <v>14</v>
      </c>
      <c r="K104" s="2" t="s">
        <v>118</v>
      </c>
      <c r="L104" s="2" t="s">
        <v>70</v>
      </c>
    </row>
    <row r="105" spans="1:12" ht="15.95" customHeight="1" x14ac:dyDescent="0.25">
      <c r="A105" s="6" t="s">
        <v>304</v>
      </c>
      <c r="B105" s="7" t="s">
        <v>502</v>
      </c>
      <c r="C105" s="15" t="s">
        <v>81</v>
      </c>
      <c r="D105" s="18" t="s">
        <v>65</v>
      </c>
      <c r="E105" s="6" t="s">
        <v>34</v>
      </c>
      <c r="F105" s="6" t="s">
        <v>107</v>
      </c>
      <c r="G105" s="6" t="s">
        <v>47</v>
      </c>
      <c r="H105" s="6" t="s">
        <v>305</v>
      </c>
      <c r="I105" s="6" t="s">
        <v>306</v>
      </c>
      <c r="J105" s="6">
        <f t="shared" ca="1" si="3"/>
        <v>1</v>
      </c>
      <c r="K105" s="6" t="s">
        <v>69</v>
      </c>
      <c r="L105" s="6" t="s">
        <v>70</v>
      </c>
    </row>
    <row r="106" spans="1:12" ht="15.95" customHeight="1" x14ac:dyDescent="0.25">
      <c r="A106" s="2" t="s">
        <v>307</v>
      </c>
      <c r="B106" s="3" t="s">
        <v>539</v>
      </c>
      <c r="C106" s="21" t="s">
        <v>111</v>
      </c>
      <c r="D106" s="5" t="s">
        <v>33</v>
      </c>
      <c r="E106" s="2" t="s">
        <v>133</v>
      </c>
      <c r="F106" s="2" t="s">
        <v>96</v>
      </c>
      <c r="G106" s="2" t="s">
        <v>93</v>
      </c>
      <c r="H106" s="2" t="s">
        <v>67</v>
      </c>
      <c r="I106" s="2" t="s">
        <v>73</v>
      </c>
      <c r="J106" s="2">
        <f t="shared" ca="1" si="3"/>
        <v>71</v>
      </c>
      <c r="K106" s="2" t="s">
        <v>69</v>
      </c>
      <c r="L106" s="2" t="s">
        <v>90</v>
      </c>
    </row>
    <row r="107" spans="1:12" ht="15.95" customHeight="1" x14ac:dyDescent="0.25">
      <c r="A107" s="6" t="s">
        <v>308</v>
      </c>
      <c r="B107" s="7" t="s">
        <v>517</v>
      </c>
      <c r="C107" s="8" t="s">
        <v>37</v>
      </c>
      <c r="D107" s="18" t="s">
        <v>65</v>
      </c>
      <c r="E107" s="6" t="s">
        <v>53</v>
      </c>
      <c r="F107" s="6" t="s">
        <v>120</v>
      </c>
      <c r="G107" s="6" t="s">
        <v>41</v>
      </c>
      <c r="H107" s="6" t="s">
        <v>309</v>
      </c>
      <c r="I107" s="6" t="s">
        <v>206</v>
      </c>
      <c r="J107" s="6">
        <f t="shared" ca="1" si="3"/>
        <v>12</v>
      </c>
      <c r="K107" s="6" t="s">
        <v>78</v>
      </c>
      <c r="L107" s="6" t="s">
        <v>70</v>
      </c>
    </row>
    <row r="108" spans="1:12" ht="15.95" customHeight="1" x14ac:dyDescent="0.25">
      <c r="A108" s="2" t="s">
        <v>310</v>
      </c>
      <c r="B108" s="3" t="s">
        <v>512</v>
      </c>
      <c r="C108" s="5" t="s">
        <v>37</v>
      </c>
      <c r="D108" s="14" t="s">
        <v>65</v>
      </c>
      <c r="E108" s="2" t="s">
        <v>39</v>
      </c>
      <c r="F108" s="2" t="s">
        <v>92</v>
      </c>
      <c r="G108" s="2" t="s">
        <v>49</v>
      </c>
      <c r="H108" s="2" t="s">
        <v>85</v>
      </c>
      <c r="I108" s="2" t="s">
        <v>311</v>
      </c>
      <c r="J108" s="2">
        <f t="shared" ca="1" si="3"/>
        <v>3</v>
      </c>
      <c r="K108" s="2" t="s">
        <v>121</v>
      </c>
      <c r="L108" s="2" t="s">
        <v>79</v>
      </c>
    </row>
    <row r="109" spans="1:12" ht="15.95" customHeight="1" x14ac:dyDescent="0.25">
      <c r="A109" s="6" t="s">
        <v>312</v>
      </c>
      <c r="B109" s="7" t="s">
        <v>521</v>
      </c>
      <c r="C109" s="15" t="s">
        <v>81</v>
      </c>
      <c r="D109" s="18" t="s">
        <v>65</v>
      </c>
      <c r="E109" s="6" t="s">
        <v>34</v>
      </c>
      <c r="F109" s="6" t="s">
        <v>92</v>
      </c>
      <c r="G109" s="6" t="s">
        <v>58</v>
      </c>
      <c r="H109" s="6" t="s">
        <v>234</v>
      </c>
      <c r="I109" s="6" t="s">
        <v>313</v>
      </c>
      <c r="J109" s="6">
        <f t="shared" ca="1" si="3"/>
        <v>5</v>
      </c>
      <c r="K109" s="6" t="s">
        <v>78</v>
      </c>
      <c r="L109" s="6" t="s">
        <v>79</v>
      </c>
    </row>
    <row r="110" spans="1:12" ht="15.95" customHeight="1" x14ac:dyDescent="0.25">
      <c r="A110" s="2" t="s">
        <v>314</v>
      </c>
      <c r="B110" s="3" t="s">
        <v>557</v>
      </c>
      <c r="C110" s="19" t="s">
        <v>81</v>
      </c>
      <c r="D110" s="14" t="s">
        <v>65</v>
      </c>
      <c r="E110" s="2" t="s">
        <v>76</v>
      </c>
      <c r="F110" s="2" t="s">
        <v>71</v>
      </c>
      <c r="G110" s="2" t="s">
        <v>44</v>
      </c>
      <c r="H110" s="2" t="s">
        <v>315</v>
      </c>
      <c r="I110" s="2" t="s">
        <v>316</v>
      </c>
      <c r="J110" s="2">
        <f t="shared" ca="1" si="3"/>
        <v>11</v>
      </c>
      <c r="K110" s="2" t="s">
        <v>121</v>
      </c>
      <c r="L110" s="2" t="s">
        <v>79</v>
      </c>
    </row>
    <row r="111" spans="1:12" ht="15.95" customHeight="1" x14ac:dyDescent="0.25">
      <c r="A111" s="6" t="s">
        <v>317</v>
      </c>
      <c r="B111" s="7" t="s">
        <v>521</v>
      </c>
      <c r="C111" s="11" t="s">
        <v>32</v>
      </c>
      <c r="D111" s="20" t="s">
        <v>105</v>
      </c>
      <c r="E111" s="6" t="s">
        <v>53</v>
      </c>
      <c r="F111" s="6" t="s">
        <v>99</v>
      </c>
      <c r="G111" s="6" t="s">
        <v>58</v>
      </c>
      <c r="H111" s="6" t="s">
        <v>184</v>
      </c>
      <c r="I111" s="6" t="s">
        <v>318</v>
      </c>
      <c r="J111" s="6">
        <f t="shared" ca="1" si="3"/>
        <v>1</v>
      </c>
      <c r="K111" s="6" t="s">
        <v>89</v>
      </c>
      <c r="L111" s="6" t="s">
        <v>90</v>
      </c>
    </row>
    <row r="112" spans="1:12" ht="15.95" customHeight="1" x14ac:dyDescent="0.25">
      <c r="A112" s="2" t="s">
        <v>319</v>
      </c>
      <c r="B112" s="3" t="s">
        <v>527</v>
      </c>
      <c r="C112" s="4" t="s">
        <v>32</v>
      </c>
      <c r="D112" s="14" t="s">
        <v>65</v>
      </c>
      <c r="E112" s="2" t="s">
        <v>76</v>
      </c>
      <c r="F112" s="2" t="s">
        <v>99</v>
      </c>
      <c r="G112" s="2" t="s">
        <v>49</v>
      </c>
      <c r="H112" s="2" t="s">
        <v>77</v>
      </c>
      <c r="I112" s="2" t="s">
        <v>320</v>
      </c>
      <c r="J112" s="2">
        <f t="shared" ca="1" si="3"/>
        <v>6</v>
      </c>
      <c r="K112" s="2" t="s">
        <v>74</v>
      </c>
      <c r="L112" s="2" t="s">
        <v>95</v>
      </c>
    </row>
    <row r="113" spans="1:12" ht="15.95" customHeight="1" x14ac:dyDescent="0.25">
      <c r="A113" s="6" t="s">
        <v>321</v>
      </c>
      <c r="B113" s="7" t="s">
        <v>521</v>
      </c>
      <c r="C113" s="11" t="s">
        <v>32</v>
      </c>
      <c r="D113" s="18" t="s">
        <v>65</v>
      </c>
      <c r="E113" s="6" t="s">
        <v>56</v>
      </c>
      <c r="F113" s="6" t="s">
        <v>96</v>
      </c>
      <c r="G113" s="6" t="s">
        <v>93</v>
      </c>
      <c r="H113" s="6" t="s">
        <v>276</v>
      </c>
      <c r="I113" s="6" t="s">
        <v>322</v>
      </c>
      <c r="J113" s="6">
        <f t="shared" ca="1" si="3"/>
        <v>3</v>
      </c>
      <c r="K113" s="6" t="s">
        <v>89</v>
      </c>
      <c r="L113" s="6" t="s">
        <v>90</v>
      </c>
    </row>
    <row r="114" spans="1:12" ht="15.95" customHeight="1" x14ac:dyDescent="0.25">
      <c r="A114" s="2" t="s">
        <v>323</v>
      </c>
      <c r="B114" s="3" t="s">
        <v>558</v>
      </c>
      <c r="C114" s="5" t="s">
        <v>37</v>
      </c>
      <c r="D114" s="14" t="s">
        <v>65</v>
      </c>
      <c r="E114" s="2" t="s">
        <v>34</v>
      </c>
      <c r="F114" s="2" t="s">
        <v>99</v>
      </c>
      <c r="G114" s="2" t="s">
        <v>93</v>
      </c>
      <c r="H114" s="2" t="s">
        <v>250</v>
      </c>
      <c r="I114" s="2" t="s">
        <v>232</v>
      </c>
      <c r="J114" s="2">
        <f t="shared" ca="1" si="3"/>
        <v>9</v>
      </c>
      <c r="K114" s="2" t="s">
        <v>69</v>
      </c>
      <c r="L114" s="2" t="s">
        <v>79</v>
      </c>
    </row>
    <row r="115" spans="1:12" ht="15.95" customHeight="1" x14ac:dyDescent="0.25">
      <c r="A115" s="6" t="s">
        <v>324</v>
      </c>
      <c r="B115" s="7" t="s">
        <v>518</v>
      </c>
      <c r="C115" s="15" t="s">
        <v>81</v>
      </c>
      <c r="D115" s="18" t="s">
        <v>65</v>
      </c>
      <c r="E115" s="6" t="s">
        <v>83</v>
      </c>
      <c r="F115" s="6" t="s">
        <v>120</v>
      </c>
      <c r="G115" s="6" t="s">
        <v>54</v>
      </c>
      <c r="H115" s="6" t="s">
        <v>248</v>
      </c>
      <c r="I115" s="6" t="s">
        <v>294</v>
      </c>
      <c r="J115" s="6">
        <f t="shared" ca="1" si="3"/>
        <v>1</v>
      </c>
      <c r="K115" s="6" t="s">
        <v>121</v>
      </c>
      <c r="L115" s="6" t="s">
        <v>70</v>
      </c>
    </row>
    <row r="116" spans="1:12" ht="15.95" customHeight="1" x14ac:dyDescent="0.25">
      <c r="A116" s="2" t="s">
        <v>325</v>
      </c>
      <c r="B116" s="3" t="s">
        <v>558</v>
      </c>
      <c r="C116" s="4" t="s">
        <v>32</v>
      </c>
      <c r="D116" s="24" t="s">
        <v>105</v>
      </c>
      <c r="E116" s="2" t="s">
        <v>133</v>
      </c>
      <c r="F116" s="2" t="s">
        <v>71</v>
      </c>
      <c r="G116" s="2" t="s">
        <v>44</v>
      </c>
      <c r="H116" s="2" t="s">
        <v>315</v>
      </c>
      <c r="I116" s="2" t="s">
        <v>236</v>
      </c>
      <c r="J116" s="2">
        <f t="shared" ca="1" si="3"/>
        <v>8</v>
      </c>
      <c r="K116" s="2" t="s">
        <v>74</v>
      </c>
      <c r="L116" s="2" t="s">
        <v>95</v>
      </c>
    </row>
    <row r="117" spans="1:12" ht="15.95" customHeight="1" x14ac:dyDescent="0.25">
      <c r="A117" s="6" t="s">
        <v>326</v>
      </c>
      <c r="B117" s="7" t="s">
        <v>559</v>
      </c>
      <c r="C117" s="15" t="s">
        <v>81</v>
      </c>
      <c r="D117" s="20" t="s">
        <v>105</v>
      </c>
      <c r="E117" s="6" t="s">
        <v>76</v>
      </c>
      <c r="F117" s="6" t="s">
        <v>92</v>
      </c>
      <c r="G117" s="6" t="s">
        <v>35</v>
      </c>
      <c r="H117" s="6" t="s">
        <v>327</v>
      </c>
      <c r="I117" s="6" t="s">
        <v>309</v>
      </c>
      <c r="J117" s="6">
        <f t="shared" ca="1" si="3"/>
        <v>6</v>
      </c>
      <c r="K117" s="6" t="s">
        <v>89</v>
      </c>
      <c r="L117" s="6" t="s">
        <v>79</v>
      </c>
    </row>
    <row r="118" spans="1:12" ht="15.95" customHeight="1" x14ac:dyDescent="0.25">
      <c r="A118" s="2" t="s">
        <v>328</v>
      </c>
      <c r="B118" s="3" t="s">
        <v>560</v>
      </c>
      <c r="C118" s="19" t="s">
        <v>81</v>
      </c>
      <c r="D118" s="14" t="s">
        <v>65</v>
      </c>
      <c r="E118" s="2" t="s">
        <v>56</v>
      </c>
      <c r="F118" s="2" t="s">
        <v>92</v>
      </c>
      <c r="G118" s="2" t="s">
        <v>93</v>
      </c>
      <c r="H118" s="2" t="s">
        <v>68</v>
      </c>
      <c r="I118" s="2" t="s">
        <v>296</v>
      </c>
      <c r="J118" s="2">
        <f t="shared" ca="1" si="3"/>
        <v>12</v>
      </c>
      <c r="K118" s="2" t="s">
        <v>121</v>
      </c>
      <c r="L118" s="2" t="s">
        <v>70</v>
      </c>
    </row>
    <row r="119" spans="1:12" ht="15.95" customHeight="1" x14ac:dyDescent="0.25">
      <c r="A119" s="6" t="s">
        <v>329</v>
      </c>
      <c r="B119" s="7" t="s">
        <v>549</v>
      </c>
      <c r="C119" s="15" t="s">
        <v>81</v>
      </c>
      <c r="D119" s="16" t="s">
        <v>82</v>
      </c>
      <c r="E119" s="6" t="s">
        <v>34</v>
      </c>
      <c r="F119" s="6" t="s">
        <v>120</v>
      </c>
      <c r="G119" s="6" t="s">
        <v>44</v>
      </c>
      <c r="H119" s="6" t="s">
        <v>212</v>
      </c>
      <c r="I119" s="6" t="s">
        <v>257</v>
      </c>
      <c r="J119" s="6">
        <f t="shared" ca="1" si="3"/>
        <v>6</v>
      </c>
      <c r="K119" s="6" t="s">
        <v>89</v>
      </c>
      <c r="L119" s="6" t="s">
        <v>79</v>
      </c>
    </row>
    <row r="120" spans="1:12" ht="15.95" customHeight="1" x14ac:dyDescent="0.25">
      <c r="A120" s="2" t="s">
        <v>330</v>
      </c>
      <c r="B120" s="3" t="s">
        <v>546</v>
      </c>
      <c r="C120" s="5" t="s">
        <v>37</v>
      </c>
      <c r="D120" s="14" t="s">
        <v>65</v>
      </c>
      <c r="E120" s="2" t="s">
        <v>133</v>
      </c>
      <c r="F120" s="2" t="s">
        <v>96</v>
      </c>
      <c r="G120" s="2" t="s">
        <v>93</v>
      </c>
      <c r="H120" s="2" t="s">
        <v>142</v>
      </c>
      <c r="I120" s="2" t="s">
        <v>302</v>
      </c>
      <c r="J120" s="2">
        <f t="shared" ca="1" si="3"/>
        <v>13</v>
      </c>
      <c r="K120" s="2" t="s">
        <v>118</v>
      </c>
      <c r="L120" s="2" t="s">
        <v>79</v>
      </c>
    </row>
    <row r="121" spans="1:12" ht="15.95" customHeight="1" x14ac:dyDescent="0.25">
      <c r="A121" s="6" t="s">
        <v>331</v>
      </c>
      <c r="B121" s="7" t="s">
        <v>561</v>
      </c>
      <c r="C121" s="15" t="s">
        <v>81</v>
      </c>
      <c r="D121" s="20" t="s">
        <v>105</v>
      </c>
      <c r="E121" s="6" t="s">
        <v>133</v>
      </c>
      <c r="F121" s="6" t="s">
        <v>107</v>
      </c>
      <c r="G121" s="6" t="s">
        <v>93</v>
      </c>
      <c r="H121" s="6" t="s">
        <v>267</v>
      </c>
      <c r="I121" s="6" t="s">
        <v>200</v>
      </c>
      <c r="J121" s="6">
        <f t="shared" ca="1" si="3"/>
        <v>13</v>
      </c>
      <c r="K121" s="6" t="s">
        <v>89</v>
      </c>
      <c r="L121" s="6" t="s">
        <v>90</v>
      </c>
    </row>
    <row r="122" spans="1:12" ht="15.95" customHeight="1" x14ac:dyDescent="0.25">
      <c r="A122" s="2" t="s">
        <v>332</v>
      </c>
      <c r="B122" s="3" t="s">
        <v>562</v>
      </c>
      <c r="C122" s="19" t="s">
        <v>81</v>
      </c>
      <c r="D122" s="10" t="s">
        <v>38</v>
      </c>
      <c r="E122" s="2" t="s">
        <v>39</v>
      </c>
      <c r="F122" s="2" t="s">
        <v>107</v>
      </c>
      <c r="G122" s="2" t="s">
        <v>44</v>
      </c>
      <c r="H122" s="2" t="s">
        <v>333</v>
      </c>
      <c r="I122" s="2" t="s">
        <v>73</v>
      </c>
      <c r="J122" s="2">
        <f t="shared" ca="1" si="3"/>
        <v>195</v>
      </c>
      <c r="K122" s="2" t="s">
        <v>78</v>
      </c>
      <c r="L122" s="2" t="s">
        <v>90</v>
      </c>
    </row>
    <row r="123" spans="1:12" ht="15.95" customHeight="1" x14ac:dyDescent="0.25">
      <c r="A123" s="6" t="s">
        <v>334</v>
      </c>
      <c r="B123" s="7" t="s">
        <v>516</v>
      </c>
      <c r="C123" s="22" t="s">
        <v>111</v>
      </c>
      <c r="D123" s="12" t="s">
        <v>43</v>
      </c>
      <c r="E123" s="6" t="s">
        <v>39</v>
      </c>
      <c r="F123" s="6" t="s">
        <v>120</v>
      </c>
      <c r="G123" s="6" t="s">
        <v>47</v>
      </c>
      <c r="H123" s="6" t="s">
        <v>101</v>
      </c>
      <c r="I123" s="6" t="s">
        <v>73</v>
      </c>
      <c r="J123" s="6">
        <f t="shared" ca="1" si="3"/>
        <v>125</v>
      </c>
      <c r="K123" s="6" t="s">
        <v>89</v>
      </c>
      <c r="L123" s="6" t="s">
        <v>90</v>
      </c>
    </row>
    <row r="124" spans="1:12" ht="15.95" customHeight="1" x14ac:dyDescent="0.25">
      <c r="A124" s="2" t="s">
        <v>335</v>
      </c>
      <c r="B124" s="3" t="s">
        <v>557</v>
      </c>
      <c r="C124" s="19" t="s">
        <v>81</v>
      </c>
      <c r="D124" s="17" t="s">
        <v>82</v>
      </c>
      <c r="E124" s="2" t="s">
        <v>53</v>
      </c>
      <c r="F124" s="2" t="s">
        <v>96</v>
      </c>
      <c r="G124" s="2" t="s">
        <v>35</v>
      </c>
      <c r="H124" s="2" t="s">
        <v>237</v>
      </c>
      <c r="I124" s="2" t="s">
        <v>143</v>
      </c>
      <c r="J124" s="2">
        <f t="shared" ca="1" si="3"/>
        <v>6</v>
      </c>
      <c r="K124" s="2" t="s">
        <v>89</v>
      </c>
      <c r="L124" s="2" t="s">
        <v>90</v>
      </c>
    </row>
    <row r="125" spans="1:12" ht="15.95" customHeight="1" x14ac:dyDescent="0.25">
      <c r="A125" s="6" t="s">
        <v>336</v>
      </c>
      <c r="B125" s="7" t="s">
        <v>499</v>
      </c>
      <c r="C125" s="15" t="s">
        <v>81</v>
      </c>
      <c r="D125" s="8" t="s">
        <v>33</v>
      </c>
      <c r="E125" s="6" t="s">
        <v>106</v>
      </c>
      <c r="F125" s="6" t="s">
        <v>92</v>
      </c>
      <c r="G125" s="6" t="s">
        <v>93</v>
      </c>
      <c r="H125" s="6" t="s">
        <v>239</v>
      </c>
      <c r="I125" s="6" t="s">
        <v>73</v>
      </c>
      <c r="J125" s="6">
        <f t="shared" ca="1" si="3"/>
        <v>45</v>
      </c>
      <c r="K125" s="6" t="s">
        <v>74</v>
      </c>
      <c r="L125" s="6" t="s">
        <v>95</v>
      </c>
    </row>
    <row r="126" spans="1:12" ht="15.95" customHeight="1" x14ac:dyDescent="0.25">
      <c r="A126" s="2" t="s">
        <v>337</v>
      </c>
      <c r="B126" s="3" t="s">
        <v>563</v>
      </c>
      <c r="C126" s="19" t="s">
        <v>81</v>
      </c>
      <c r="D126" s="14" t="s">
        <v>65</v>
      </c>
      <c r="E126" s="2" t="s">
        <v>53</v>
      </c>
      <c r="F126" s="2" t="s">
        <v>71</v>
      </c>
      <c r="G126" s="2" t="s">
        <v>41</v>
      </c>
      <c r="H126" s="2" t="s">
        <v>253</v>
      </c>
      <c r="I126" s="2" t="s">
        <v>217</v>
      </c>
      <c r="J126" s="2">
        <f t="shared" ca="1" si="3"/>
        <v>10</v>
      </c>
      <c r="K126" s="2" t="s">
        <v>118</v>
      </c>
      <c r="L126" s="2" t="s">
        <v>79</v>
      </c>
    </row>
    <row r="127" spans="1:12" ht="15.95" customHeight="1" x14ac:dyDescent="0.25">
      <c r="A127" s="6" t="s">
        <v>338</v>
      </c>
      <c r="B127" s="7" t="s">
        <v>529</v>
      </c>
      <c r="C127" s="15" t="s">
        <v>81</v>
      </c>
      <c r="D127" s="16" t="s">
        <v>82</v>
      </c>
      <c r="E127" s="6" t="s">
        <v>56</v>
      </c>
      <c r="F127" s="6" t="s">
        <v>99</v>
      </c>
      <c r="G127" s="6" t="s">
        <v>44</v>
      </c>
      <c r="H127" s="6" t="s">
        <v>237</v>
      </c>
      <c r="I127" s="6" t="s">
        <v>253</v>
      </c>
      <c r="J127" s="6">
        <f t="shared" ca="1" si="3"/>
        <v>10</v>
      </c>
      <c r="K127" s="6" t="s">
        <v>78</v>
      </c>
      <c r="L127" s="6" t="s">
        <v>70</v>
      </c>
    </row>
    <row r="128" spans="1:12" ht="15.95" customHeight="1" x14ac:dyDescent="0.25">
      <c r="A128" s="2" t="s">
        <v>339</v>
      </c>
      <c r="B128" s="3" t="s">
        <v>518</v>
      </c>
      <c r="C128" s="4" t="s">
        <v>32</v>
      </c>
      <c r="D128" s="24" t="s">
        <v>105</v>
      </c>
      <c r="E128" s="2" t="s">
        <v>56</v>
      </c>
      <c r="F128" s="2" t="s">
        <v>92</v>
      </c>
      <c r="G128" s="2" t="s">
        <v>41</v>
      </c>
      <c r="H128" s="2" t="s">
        <v>123</v>
      </c>
      <c r="I128" s="2" t="s">
        <v>340</v>
      </c>
      <c r="J128" s="2">
        <f t="shared" ca="1" si="3"/>
        <v>8</v>
      </c>
      <c r="K128" s="2" t="s">
        <v>89</v>
      </c>
      <c r="L128" s="2" t="s">
        <v>90</v>
      </c>
    </row>
    <row r="129" spans="1:12" ht="15.95" customHeight="1" x14ac:dyDescent="0.25">
      <c r="A129" s="6" t="s">
        <v>341</v>
      </c>
      <c r="B129" s="7" t="s">
        <v>564</v>
      </c>
      <c r="C129" s="22" t="s">
        <v>111</v>
      </c>
      <c r="D129" s="18" t="s">
        <v>65</v>
      </c>
      <c r="E129" s="6" t="s">
        <v>46</v>
      </c>
      <c r="F129" s="6" t="s">
        <v>120</v>
      </c>
      <c r="G129" s="6" t="s">
        <v>54</v>
      </c>
      <c r="H129" s="6" t="s">
        <v>342</v>
      </c>
      <c r="I129" s="6" t="s">
        <v>97</v>
      </c>
      <c r="J129" s="6">
        <f t="shared" ca="1" si="3"/>
        <v>13</v>
      </c>
      <c r="K129" s="6" t="s">
        <v>118</v>
      </c>
      <c r="L129" s="6" t="s">
        <v>70</v>
      </c>
    </row>
    <row r="130" spans="1:12" ht="15.95" customHeight="1" x14ac:dyDescent="0.25">
      <c r="A130" s="2" t="s">
        <v>343</v>
      </c>
      <c r="B130" s="3" t="s">
        <v>551</v>
      </c>
      <c r="C130" s="4" t="s">
        <v>32</v>
      </c>
      <c r="D130" s="24" t="s">
        <v>105</v>
      </c>
      <c r="E130" s="2" t="s">
        <v>51</v>
      </c>
      <c r="F130" s="2" t="s">
        <v>120</v>
      </c>
      <c r="G130" s="2" t="s">
        <v>35</v>
      </c>
      <c r="H130" s="2" t="s">
        <v>276</v>
      </c>
      <c r="I130" s="2" t="s">
        <v>344</v>
      </c>
      <c r="J130" s="2">
        <f t="shared" ref="J130:J161" ca="1" si="4">IF(I130="—",TODAY()-H130,I130-H130)</f>
        <v>4</v>
      </c>
      <c r="K130" s="2" t="s">
        <v>118</v>
      </c>
      <c r="L130" s="2" t="s">
        <v>79</v>
      </c>
    </row>
    <row r="131" spans="1:12" ht="15.95" customHeight="1" x14ac:dyDescent="0.25">
      <c r="A131" s="6" t="s">
        <v>345</v>
      </c>
      <c r="B131" s="7" t="s">
        <v>565</v>
      </c>
      <c r="C131" s="8" t="s">
        <v>37</v>
      </c>
      <c r="D131" s="18" t="s">
        <v>65</v>
      </c>
      <c r="E131" s="6" t="s">
        <v>133</v>
      </c>
      <c r="F131" s="6" t="s">
        <v>92</v>
      </c>
      <c r="G131" s="6" t="s">
        <v>35</v>
      </c>
      <c r="H131" s="6" t="s">
        <v>117</v>
      </c>
      <c r="I131" s="6" t="s">
        <v>234</v>
      </c>
      <c r="J131" s="6">
        <f t="shared" ca="1" si="4"/>
        <v>14</v>
      </c>
      <c r="K131" s="6" t="s">
        <v>78</v>
      </c>
      <c r="L131" s="6" t="s">
        <v>79</v>
      </c>
    </row>
    <row r="132" spans="1:12" ht="15.95" customHeight="1" x14ac:dyDescent="0.25">
      <c r="A132" s="2" t="s">
        <v>346</v>
      </c>
      <c r="B132" s="3" t="s">
        <v>566</v>
      </c>
      <c r="C132" s="5" t="s">
        <v>37</v>
      </c>
      <c r="D132" s="17" t="s">
        <v>82</v>
      </c>
      <c r="E132" s="2" t="s">
        <v>51</v>
      </c>
      <c r="F132" s="2" t="s">
        <v>120</v>
      </c>
      <c r="G132" s="2" t="s">
        <v>35</v>
      </c>
      <c r="H132" s="2" t="s">
        <v>148</v>
      </c>
      <c r="I132" s="2" t="s">
        <v>294</v>
      </c>
      <c r="J132" s="2">
        <f t="shared" ca="1" si="4"/>
        <v>13</v>
      </c>
      <c r="K132" s="2" t="s">
        <v>89</v>
      </c>
      <c r="L132" s="2" t="s">
        <v>90</v>
      </c>
    </row>
    <row r="133" spans="1:12" ht="15.95" customHeight="1" x14ac:dyDescent="0.25">
      <c r="A133" s="6" t="s">
        <v>347</v>
      </c>
      <c r="B133" s="7" t="s">
        <v>549</v>
      </c>
      <c r="C133" s="15" t="s">
        <v>81</v>
      </c>
      <c r="D133" s="20" t="s">
        <v>105</v>
      </c>
      <c r="E133" s="6" t="s">
        <v>51</v>
      </c>
      <c r="F133" s="6" t="s">
        <v>99</v>
      </c>
      <c r="G133" s="6" t="s">
        <v>49</v>
      </c>
      <c r="H133" s="6" t="s">
        <v>117</v>
      </c>
      <c r="I133" s="6" t="s">
        <v>200</v>
      </c>
      <c r="J133" s="6">
        <f t="shared" ca="1" si="4"/>
        <v>7</v>
      </c>
      <c r="K133" s="6" t="s">
        <v>89</v>
      </c>
      <c r="L133" s="6" t="s">
        <v>79</v>
      </c>
    </row>
    <row r="134" spans="1:12" ht="15.95" customHeight="1" x14ac:dyDescent="0.25">
      <c r="A134" s="2" t="s">
        <v>348</v>
      </c>
      <c r="B134" s="3" t="s">
        <v>503</v>
      </c>
      <c r="C134" s="19" t="s">
        <v>81</v>
      </c>
      <c r="D134" s="14" t="s">
        <v>65</v>
      </c>
      <c r="E134" s="2" t="s">
        <v>46</v>
      </c>
      <c r="F134" s="2" t="s">
        <v>71</v>
      </c>
      <c r="G134" s="2" t="s">
        <v>47</v>
      </c>
      <c r="H134" s="2" t="s">
        <v>114</v>
      </c>
      <c r="I134" s="2" t="s">
        <v>186</v>
      </c>
      <c r="J134" s="2">
        <f t="shared" ca="1" si="4"/>
        <v>6</v>
      </c>
      <c r="K134" s="2" t="s">
        <v>74</v>
      </c>
      <c r="L134" s="2" t="s">
        <v>90</v>
      </c>
    </row>
    <row r="135" spans="1:12" ht="15.95" customHeight="1" x14ac:dyDescent="0.25">
      <c r="A135" s="6" t="s">
        <v>349</v>
      </c>
      <c r="B135" s="7" t="s">
        <v>505</v>
      </c>
      <c r="C135" s="11" t="s">
        <v>32</v>
      </c>
      <c r="D135" s="18" t="s">
        <v>65</v>
      </c>
      <c r="E135" s="6" t="s">
        <v>133</v>
      </c>
      <c r="F135" s="6" t="s">
        <v>99</v>
      </c>
      <c r="G135" s="6" t="s">
        <v>54</v>
      </c>
      <c r="H135" s="6" t="s">
        <v>350</v>
      </c>
      <c r="I135" s="6" t="s">
        <v>320</v>
      </c>
      <c r="J135" s="6">
        <f t="shared" ca="1" si="4"/>
        <v>2</v>
      </c>
      <c r="K135" s="6" t="s">
        <v>118</v>
      </c>
      <c r="L135" s="6" t="s">
        <v>95</v>
      </c>
    </row>
    <row r="136" spans="1:12" ht="15.95" customHeight="1" x14ac:dyDescent="0.25">
      <c r="A136" s="2" t="s">
        <v>351</v>
      </c>
      <c r="B136" s="3" t="s">
        <v>513</v>
      </c>
      <c r="C136" s="4" t="s">
        <v>32</v>
      </c>
      <c r="D136" s="17" t="s">
        <v>82</v>
      </c>
      <c r="E136" s="2" t="s">
        <v>76</v>
      </c>
      <c r="F136" s="2" t="s">
        <v>96</v>
      </c>
      <c r="G136" s="2" t="s">
        <v>41</v>
      </c>
      <c r="H136" s="2" t="s">
        <v>299</v>
      </c>
      <c r="I136" s="2" t="s">
        <v>197</v>
      </c>
      <c r="J136" s="2">
        <f t="shared" ca="1" si="4"/>
        <v>8</v>
      </c>
      <c r="K136" s="2" t="s">
        <v>78</v>
      </c>
      <c r="L136" s="2" t="s">
        <v>79</v>
      </c>
    </row>
    <row r="137" spans="1:12" ht="15.95" customHeight="1" x14ac:dyDescent="0.25">
      <c r="A137" s="6" t="s">
        <v>352</v>
      </c>
      <c r="B137" s="7" t="s">
        <v>524</v>
      </c>
      <c r="C137" s="15" t="s">
        <v>81</v>
      </c>
      <c r="D137" s="8" t="s">
        <v>33</v>
      </c>
      <c r="E137" s="6" t="s">
        <v>46</v>
      </c>
      <c r="F137" s="6" t="s">
        <v>96</v>
      </c>
      <c r="G137" s="6" t="s">
        <v>35</v>
      </c>
      <c r="H137" s="6" t="s">
        <v>253</v>
      </c>
      <c r="I137" s="6" t="s">
        <v>73</v>
      </c>
      <c r="J137" s="6">
        <f t="shared" ca="1" si="4"/>
        <v>155</v>
      </c>
      <c r="K137" s="6" t="s">
        <v>121</v>
      </c>
      <c r="L137" s="6" t="s">
        <v>79</v>
      </c>
    </row>
    <row r="138" spans="1:12" ht="15.95" customHeight="1" x14ac:dyDescent="0.25">
      <c r="A138" s="2" t="s">
        <v>353</v>
      </c>
      <c r="B138" s="3" t="s">
        <v>565</v>
      </c>
      <c r="C138" s="21" t="s">
        <v>111</v>
      </c>
      <c r="D138" s="24" t="s">
        <v>105</v>
      </c>
      <c r="E138" s="2" t="s">
        <v>39</v>
      </c>
      <c r="F138" s="2" t="s">
        <v>71</v>
      </c>
      <c r="G138" s="2" t="s">
        <v>41</v>
      </c>
      <c r="H138" s="2" t="s">
        <v>248</v>
      </c>
      <c r="I138" s="2" t="s">
        <v>154</v>
      </c>
      <c r="J138" s="2">
        <f t="shared" ca="1" si="4"/>
        <v>4</v>
      </c>
      <c r="K138" s="2" t="s">
        <v>121</v>
      </c>
      <c r="L138" s="2" t="s">
        <v>79</v>
      </c>
    </row>
    <row r="139" spans="1:12" ht="15.95" customHeight="1" x14ac:dyDescent="0.25">
      <c r="A139" s="6" t="s">
        <v>354</v>
      </c>
      <c r="B139" s="7" t="s">
        <v>567</v>
      </c>
      <c r="C139" s="22" t="s">
        <v>111</v>
      </c>
      <c r="D139" s="8" t="s">
        <v>33</v>
      </c>
      <c r="E139" s="6" t="s">
        <v>34</v>
      </c>
      <c r="F139" s="6" t="s">
        <v>92</v>
      </c>
      <c r="G139" s="6" t="s">
        <v>49</v>
      </c>
      <c r="H139" s="6" t="s">
        <v>355</v>
      </c>
      <c r="I139" s="6" t="s">
        <v>73</v>
      </c>
      <c r="J139" s="6">
        <f t="shared" ca="1" si="4"/>
        <v>147</v>
      </c>
      <c r="K139" s="6" t="s">
        <v>78</v>
      </c>
      <c r="L139" s="6" t="s">
        <v>95</v>
      </c>
    </row>
    <row r="140" spans="1:12" ht="15.95" customHeight="1" x14ac:dyDescent="0.25">
      <c r="A140" s="2" t="s">
        <v>356</v>
      </c>
      <c r="B140" s="3" t="s">
        <v>568</v>
      </c>
      <c r="C140" s="19" t="s">
        <v>81</v>
      </c>
      <c r="D140" s="14" t="s">
        <v>65</v>
      </c>
      <c r="E140" s="2" t="s">
        <v>51</v>
      </c>
      <c r="F140" s="2" t="s">
        <v>120</v>
      </c>
      <c r="G140" s="2" t="s">
        <v>93</v>
      </c>
      <c r="H140" s="2" t="s">
        <v>357</v>
      </c>
      <c r="I140" s="2" t="s">
        <v>216</v>
      </c>
      <c r="J140" s="2">
        <f t="shared" ca="1" si="4"/>
        <v>11</v>
      </c>
      <c r="K140" s="2" t="s">
        <v>89</v>
      </c>
      <c r="L140" s="2" t="s">
        <v>70</v>
      </c>
    </row>
    <row r="141" spans="1:12" ht="15.95" customHeight="1" x14ac:dyDescent="0.25">
      <c r="A141" s="6" t="s">
        <v>358</v>
      </c>
      <c r="B141" s="7" t="s">
        <v>569</v>
      </c>
      <c r="C141" s="11" t="s">
        <v>32</v>
      </c>
      <c r="D141" s="18" t="s">
        <v>65</v>
      </c>
      <c r="E141" s="6" t="s">
        <v>133</v>
      </c>
      <c r="F141" s="6" t="s">
        <v>66</v>
      </c>
      <c r="G141" s="6" t="s">
        <v>49</v>
      </c>
      <c r="H141" s="6" t="s">
        <v>357</v>
      </c>
      <c r="I141" s="6" t="s">
        <v>359</v>
      </c>
      <c r="J141" s="6">
        <f t="shared" ca="1" si="4"/>
        <v>10</v>
      </c>
      <c r="K141" s="6" t="s">
        <v>78</v>
      </c>
      <c r="L141" s="6" t="s">
        <v>95</v>
      </c>
    </row>
    <row r="142" spans="1:12" ht="15.95" customHeight="1" x14ac:dyDescent="0.25">
      <c r="A142" s="2" t="s">
        <v>360</v>
      </c>
      <c r="B142" s="3" t="s">
        <v>525</v>
      </c>
      <c r="C142" s="19" t="s">
        <v>81</v>
      </c>
      <c r="D142" s="17" t="s">
        <v>82</v>
      </c>
      <c r="E142" s="2" t="s">
        <v>106</v>
      </c>
      <c r="F142" s="2" t="s">
        <v>66</v>
      </c>
      <c r="G142" s="2" t="s">
        <v>93</v>
      </c>
      <c r="H142" s="2" t="s">
        <v>68</v>
      </c>
      <c r="I142" s="2" t="s">
        <v>206</v>
      </c>
      <c r="J142" s="2">
        <f t="shared" ca="1" si="4"/>
        <v>10</v>
      </c>
      <c r="K142" s="2" t="s">
        <v>74</v>
      </c>
      <c r="L142" s="2" t="s">
        <v>79</v>
      </c>
    </row>
    <row r="143" spans="1:12" ht="15.95" customHeight="1" x14ac:dyDescent="0.25">
      <c r="A143" s="6" t="s">
        <v>361</v>
      </c>
      <c r="B143" s="7" t="s">
        <v>524</v>
      </c>
      <c r="C143" s="15" t="s">
        <v>81</v>
      </c>
      <c r="D143" s="16" t="s">
        <v>82</v>
      </c>
      <c r="E143" s="6" t="s">
        <v>56</v>
      </c>
      <c r="F143" s="6" t="s">
        <v>107</v>
      </c>
      <c r="G143" s="6" t="s">
        <v>54</v>
      </c>
      <c r="H143" s="6" t="s">
        <v>309</v>
      </c>
      <c r="I143" s="6" t="s">
        <v>362</v>
      </c>
      <c r="J143" s="6">
        <f t="shared" ca="1" si="4"/>
        <v>1</v>
      </c>
      <c r="K143" s="6" t="s">
        <v>74</v>
      </c>
      <c r="L143" s="6" t="s">
        <v>90</v>
      </c>
    </row>
    <row r="144" spans="1:12" ht="15.95" customHeight="1" x14ac:dyDescent="0.25">
      <c r="A144" s="2" t="s">
        <v>363</v>
      </c>
      <c r="B144" s="3" t="s">
        <v>501</v>
      </c>
      <c r="C144" s="4" t="s">
        <v>32</v>
      </c>
      <c r="D144" s="17" t="s">
        <v>82</v>
      </c>
      <c r="E144" s="2" t="s">
        <v>39</v>
      </c>
      <c r="F144" s="2" t="s">
        <v>99</v>
      </c>
      <c r="G144" s="2" t="s">
        <v>41</v>
      </c>
      <c r="H144" s="2" t="s">
        <v>108</v>
      </c>
      <c r="I144" s="2" t="s">
        <v>344</v>
      </c>
      <c r="J144" s="2">
        <f t="shared" ca="1" si="4"/>
        <v>13</v>
      </c>
      <c r="K144" s="2" t="s">
        <v>118</v>
      </c>
      <c r="L144" s="2" t="s">
        <v>95</v>
      </c>
    </row>
    <row r="145" spans="1:12" ht="15.95" customHeight="1" x14ac:dyDescent="0.25">
      <c r="A145" s="6" t="s">
        <v>364</v>
      </c>
      <c r="B145" s="7" t="s">
        <v>522</v>
      </c>
      <c r="C145" s="15" t="s">
        <v>81</v>
      </c>
      <c r="D145" s="20" t="s">
        <v>105</v>
      </c>
      <c r="E145" s="6" t="s">
        <v>133</v>
      </c>
      <c r="F145" s="6" t="s">
        <v>99</v>
      </c>
      <c r="G145" s="6" t="s">
        <v>49</v>
      </c>
      <c r="H145" s="6" t="s">
        <v>365</v>
      </c>
      <c r="I145" s="6" t="s">
        <v>221</v>
      </c>
      <c r="J145" s="6">
        <f t="shared" ca="1" si="4"/>
        <v>3</v>
      </c>
      <c r="K145" s="6" t="s">
        <v>118</v>
      </c>
      <c r="L145" s="6" t="s">
        <v>70</v>
      </c>
    </row>
    <row r="146" spans="1:12" ht="15.95" customHeight="1" x14ac:dyDescent="0.25">
      <c r="A146" s="2" t="s">
        <v>366</v>
      </c>
      <c r="B146" s="3" t="s">
        <v>570</v>
      </c>
      <c r="C146" s="19" t="s">
        <v>81</v>
      </c>
      <c r="D146" s="24" t="s">
        <v>105</v>
      </c>
      <c r="E146" s="2" t="s">
        <v>34</v>
      </c>
      <c r="F146" s="2" t="s">
        <v>71</v>
      </c>
      <c r="G146" s="2" t="s">
        <v>58</v>
      </c>
      <c r="H146" s="2" t="s">
        <v>182</v>
      </c>
      <c r="I146" s="2" t="s">
        <v>138</v>
      </c>
      <c r="J146" s="2">
        <f t="shared" ca="1" si="4"/>
        <v>4</v>
      </c>
      <c r="K146" s="2" t="s">
        <v>78</v>
      </c>
      <c r="L146" s="2" t="s">
        <v>70</v>
      </c>
    </row>
    <row r="147" spans="1:12" ht="15.95" customHeight="1" x14ac:dyDescent="0.25">
      <c r="A147" s="6" t="s">
        <v>367</v>
      </c>
      <c r="B147" s="7" t="s">
        <v>513</v>
      </c>
      <c r="C147" s="15" t="s">
        <v>81</v>
      </c>
      <c r="D147" s="18" t="s">
        <v>65</v>
      </c>
      <c r="E147" s="6" t="s">
        <v>106</v>
      </c>
      <c r="F147" s="6" t="s">
        <v>96</v>
      </c>
      <c r="G147" s="6" t="s">
        <v>35</v>
      </c>
      <c r="H147" s="6" t="s">
        <v>368</v>
      </c>
      <c r="I147" s="6" t="s">
        <v>194</v>
      </c>
      <c r="J147" s="6">
        <f t="shared" ca="1" si="4"/>
        <v>8</v>
      </c>
      <c r="K147" s="6" t="s">
        <v>74</v>
      </c>
      <c r="L147" s="6" t="s">
        <v>90</v>
      </c>
    </row>
    <row r="148" spans="1:12" ht="15.95" customHeight="1" x14ac:dyDescent="0.25">
      <c r="A148" s="2" t="s">
        <v>369</v>
      </c>
      <c r="B148" s="3" t="s">
        <v>542</v>
      </c>
      <c r="C148" s="4" t="s">
        <v>32</v>
      </c>
      <c r="D148" s="10" t="s">
        <v>38</v>
      </c>
      <c r="E148" s="2" t="s">
        <v>46</v>
      </c>
      <c r="F148" s="2" t="s">
        <v>66</v>
      </c>
      <c r="G148" s="2" t="s">
        <v>44</v>
      </c>
      <c r="H148" s="2" t="s">
        <v>350</v>
      </c>
      <c r="I148" s="2" t="s">
        <v>73</v>
      </c>
      <c r="J148" s="2">
        <f t="shared" ca="1" si="4"/>
        <v>80</v>
      </c>
      <c r="K148" s="2" t="s">
        <v>78</v>
      </c>
      <c r="L148" s="2" t="s">
        <v>79</v>
      </c>
    </row>
    <row r="149" spans="1:12" ht="15.95" customHeight="1" x14ac:dyDescent="0.25">
      <c r="A149" s="6" t="s">
        <v>370</v>
      </c>
      <c r="B149" s="7" t="s">
        <v>494</v>
      </c>
      <c r="C149" s="11" t="s">
        <v>32</v>
      </c>
      <c r="D149" s="16" t="s">
        <v>82</v>
      </c>
      <c r="E149" s="6" t="s">
        <v>56</v>
      </c>
      <c r="F149" s="6" t="s">
        <v>99</v>
      </c>
      <c r="G149" s="6" t="s">
        <v>54</v>
      </c>
      <c r="H149" s="6" t="s">
        <v>371</v>
      </c>
      <c r="I149" s="6" t="s">
        <v>372</v>
      </c>
      <c r="J149" s="6">
        <f t="shared" ca="1" si="4"/>
        <v>9</v>
      </c>
      <c r="K149" s="6" t="s">
        <v>78</v>
      </c>
      <c r="L149" s="6" t="s">
        <v>79</v>
      </c>
    </row>
    <row r="150" spans="1:12" ht="15.95" customHeight="1" x14ac:dyDescent="0.25">
      <c r="A150" s="2" t="s">
        <v>373</v>
      </c>
      <c r="B150" s="3" t="s">
        <v>571</v>
      </c>
      <c r="C150" s="5" t="s">
        <v>37</v>
      </c>
      <c r="D150" s="17" t="s">
        <v>82</v>
      </c>
      <c r="E150" s="2" t="s">
        <v>56</v>
      </c>
      <c r="F150" s="2" t="s">
        <v>120</v>
      </c>
      <c r="G150" s="2" t="s">
        <v>93</v>
      </c>
      <c r="H150" s="2" t="s">
        <v>212</v>
      </c>
      <c r="I150" s="2" t="s">
        <v>142</v>
      </c>
      <c r="J150" s="2">
        <f t="shared" ca="1" si="4"/>
        <v>4</v>
      </c>
      <c r="K150" s="2" t="s">
        <v>89</v>
      </c>
      <c r="L150" s="2" t="s">
        <v>95</v>
      </c>
    </row>
    <row r="151" spans="1:12" ht="15.95" customHeight="1" x14ac:dyDescent="0.25">
      <c r="A151" s="6" t="s">
        <v>374</v>
      </c>
      <c r="B151" s="7" t="s">
        <v>536</v>
      </c>
      <c r="C151" s="11" t="s">
        <v>32</v>
      </c>
      <c r="D151" s="16" t="s">
        <v>82</v>
      </c>
      <c r="E151" s="6" t="s">
        <v>34</v>
      </c>
      <c r="F151" s="6" t="s">
        <v>92</v>
      </c>
      <c r="G151" s="6" t="s">
        <v>41</v>
      </c>
      <c r="H151" s="6" t="s">
        <v>375</v>
      </c>
      <c r="I151" s="6" t="s">
        <v>376</v>
      </c>
      <c r="J151" s="6">
        <f t="shared" ca="1" si="4"/>
        <v>14</v>
      </c>
      <c r="K151" s="6" t="s">
        <v>89</v>
      </c>
      <c r="L151" s="6" t="s">
        <v>79</v>
      </c>
    </row>
    <row r="152" spans="1:12" ht="15.95" customHeight="1" x14ac:dyDescent="0.25">
      <c r="A152" s="2" t="s">
        <v>45</v>
      </c>
      <c r="B152" s="3" t="s">
        <v>572</v>
      </c>
      <c r="C152" s="4" t="s">
        <v>32</v>
      </c>
      <c r="D152" s="5" t="s">
        <v>33</v>
      </c>
      <c r="E152" s="2" t="s">
        <v>46</v>
      </c>
      <c r="F152" s="2" t="s">
        <v>99</v>
      </c>
      <c r="G152" s="2" t="s">
        <v>47</v>
      </c>
      <c r="H152" s="2" t="s">
        <v>174</v>
      </c>
      <c r="I152" s="2" t="s">
        <v>73</v>
      </c>
      <c r="J152" s="2">
        <f t="shared" ca="1" si="4"/>
        <v>169</v>
      </c>
      <c r="K152" s="2" t="s">
        <v>74</v>
      </c>
      <c r="L152" s="2" t="s">
        <v>95</v>
      </c>
    </row>
    <row r="153" spans="1:12" ht="15.95" customHeight="1" x14ac:dyDescent="0.25">
      <c r="A153" s="6" t="s">
        <v>377</v>
      </c>
      <c r="B153" s="7" t="s">
        <v>566</v>
      </c>
      <c r="C153" s="8" t="s">
        <v>37</v>
      </c>
      <c r="D153" s="16" t="s">
        <v>82</v>
      </c>
      <c r="E153" s="6" t="s">
        <v>46</v>
      </c>
      <c r="F153" s="6" t="s">
        <v>99</v>
      </c>
      <c r="G153" s="6" t="s">
        <v>54</v>
      </c>
      <c r="H153" s="6" t="s">
        <v>164</v>
      </c>
      <c r="I153" s="6" t="s">
        <v>276</v>
      </c>
      <c r="J153" s="6">
        <f t="shared" ca="1" si="4"/>
        <v>13</v>
      </c>
      <c r="K153" s="6" t="s">
        <v>69</v>
      </c>
      <c r="L153" s="6" t="s">
        <v>79</v>
      </c>
    </row>
    <row r="154" spans="1:12" ht="15.95" customHeight="1" x14ac:dyDescent="0.25">
      <c r="A154" s="2" t="s">
        <v>378</v>
      </c>
      <c r="B154" s="3" t="s">
        <v>573</v>
      </c>
      <c r="C154" s="19" t="s">
        <v>81</v>
      </c>
      <c r="D154" s="10" t="s">
        <v>38</v>
      </c>
      <c r="E154" s="2" t="s">
        <v>83</v>
      </c>
      <c r="F154" s="2" t="s">
        <v>96</v>
      </c>
      <c r="G154" s="2" t="s">
        <v>93</v>
      </c>
      <c r="H154" s="2" t="s">
        <v>196</v>
      </c>
      <c r="I154" s="2" t="s">
        <v>73</v>
      </c>
      <c r="J154" s="2">
        <f t="shared" ca="1" si="4"/>
        <v>73</v>
      </c>
      <c r="K154" s="2" t="s">
        <v>74</v>
      </c>
      <c r="L154" s="2" t="s">
        <v>70</v>
      </c>
    </row>
    <row r="155" spans="1:12" ht="15.95" customHeight="1" x14ac:dyDescent="0.25">
      <c r="A155" s="6" t="s">
        <v>379</v>
      </c>
      <c r="B155" s="7" t="s">
        <v>556</v>
      </c>
      <c r="C155" s="15" t="s">
        <v>81</v>
      </c>
      <c r="D155" s="8" t="s">
        <v>33</v>
      </c>
      <c r="E155" s="6" t="s">
        <v>39</v>
      </c>
      <c r="F155" s="6" t="s">
        <v>96</v>
      </c>
      <c r="G155" s="6" t="s">
        <v>41</v>
      </c>
      <c r="H155" s="6" t="s">
        <v>322</v>
      </c>
      <c r="I155" s="6" t="s">
        <v>73</v>
      </c>
      <c r="J155" s="6">
        <f t="shared" ca="1" si="4"/>
        <v>187</v>
      </c>
      <c r="K155" s="6" t="s">
        <v>121</v>
      </c>
      <c r="L155" s="6" t="s">
        <v>70</v>
      </c>
    </row>
    <row r="156" spans="1:12" ht="15.95" customHeight="1" x14ac:dyDescent="0.25">
      <c r="A156" s="2" t="s">
        <v>380</v>
      </c>
      <c r="B156" s="3" t="s">
        <v>574</v>
      </c>
      <c r="C156" s="19" t="s">
        <v>81</v>
      </c>
      <c r="D156" s="23" t="s">
        <v>43</v>
      </c>
      <c r="E156" s="2" t="s">
        <v>46</v>
      </c>
      <c r="F156" s="2" t="s">
        <v>107</v>
      </c>
      <c r="G156" s="2" t="s">
        <v>58</v>
      </c>
      <c r="H156" s="2" t="s">
        <v>182</v>
      </c>
      <c r="I156" s="2" t="s">
        <v>73</v>
      </c>
      <c r="J156" s="2">
        <f t="shared" ca="1" si="4"/>
        <v>223</v>
      </c>
      <c r="K156" s="2" t="s">
        <v>118</v>
      </c>
      <c r="L156" s="2" t="s">
        <v>79</v>
      </c>
    </row>
    <row r="157" spans="1:12" ht="15.95" customHeight="1" x14ac:dyDescent="0.25">
      <c r="A157" s="6" t="s">
        <v>381</v>
      </c>
      <c r="B157" s="7" t="s">
        <v>521</v>
      </c>
      <c r="C157" s="15" t="s">
        <v>81</v>
      </c>
      <c r="D157" s="18" t="s">
        <v>65</v>
      </c>
      <c r="E157" s="6" t="s">
        <v>51</v>
      </c>
      <c r="F157" s="6" t="s">
        <v>99</v>
      </c>
      <c r="G157" s="6" t="s">
        <v>49</v>
      </c>
      <c r="H157" s="6" t="s">
        <v>94</v>
      </c>
      <c r="I157" s="6" t="s">
        <v>265</v>
      </c>
      <c r="J157" s="6">
        <f t="shared" ca="1" si="4"/>
        <v>3</v>
      </c>
      <c r="K157" s="6" t="s">
        <v>118</v>
      </c>
      <c r="L157" s="6" t="s">
        <v>70</v>
      </c>
    </row>
    <row r="158" spans="1:12" ht="15.95" customHeight="1" x14ac:dyDescent="0.25">
      <c r="A158" s="2" t="s">
        <v>382</v>
      </c>
      <c r="B158" s="3" t="s">
        <v>552</v>
      </c>
      <c r="C158" s="19" t="s">
        <v>81</v>
      </c>
      <c r="D158" s="10" t="s">
        <v>38</v>
      </c>
      <c r="E158" s="2" t="s">
        <v>34</v>
      </c>
      <c r="F158" s="2" t="s">
        <v>120</v>
      </c>
      <c r="G158" s="2" t="s">
        <v>47</v>
      </c>
      <c r="H158" s="2" t="s">
        <v>383</v>
      </c>
      <c r="I158" s="2" t="s">
        <v>73</v>
      </c>
      <c r="J158" s="2">
        <f t="shared" ca="1" si="4"/>
        <v>56</v>
      </c>
      <c r="K158" s="2" t="s">
        <v>74</v>
      </c>
      <c r="L158" s="2" t="s">
        <v>79</v>
      </c>
    </row>
    <row r="159" spans="1:12" ht="15.95" customHeight="1" x14ac:dyDescent="0.25">
      <c r="A159" s="6" t="s">
        <v>384</v>
      </c>
      <c r="B159" s="7" t="s">
        <v>553</v>
      </c>
      <c r="C159" s="22" t="s">
        <v>111</v>
      </c>
      <c r="D159" s="16" t="s">
        <v>82</v>
      </c>
      <c r="E159" s="6" t="s">
        <v>39</v>
      </c>
      <c r="F159" s="6" t="s">
        <v>92</v>
      </c>
      <c r="G159" s="6" t="s">
        <v>47</v>
      </c>
      <c r="H159" s="6" t="s">
        <v>376</v>
      </c>
      <c r="I159" s="6" t="s">
        <v>198</v>
      </c>
      <c r="J159" s="6">
        <f t="shared" ca="1" si="4"/>
        <v>5</v>
      </c>
      <c r="K159" s="6" t="s">
        <v>89</v>
      </c>
      <c r="L159" s="6" t="s">
        <v>90</v>
      </c>
    </row>
    <row r="160" spans="1:12" ht="15.95" customHeight="1" x14ac:dyDescent="0.25">
      <c r="A160" s="2" t="s">
        <v>385</v>
      </c>
      <c r="B160" s="3" t="s">
        <v>524</v>
      </c>
      <c r="C160" s="19" t="s">
        <v>81</v>
      </c>
      <c r="D160" s="14" t="s">
        <v>65</v>
      </c>
      <c r="E160" s="2" t="s">
        <v>51</v>
      </c>
      <c r="F160" s="2" t="s">
        <v>92</v>
      </c>
      <c r="G160" s="2" t="s">
        <v>35</v>
      </c>
      <c r="H160" s="2" t="s">
        <v>269</v>
      </c>
      <c r="I160" s="2" t="s">
        <v>355</v>
      </c>
      <c r="J160" s="2">
        <f t="shared" ca="1" si="4"/>
        <v>14</v>
      </c>
      <c r="K160" s="2" t="s">
        <v>118</v>
      </c>
      <c r="L160" s="2" t="s">
        <v>70</v>
      </c>
    </row>
    <row r="161" spans="1:12" ht="15.95" customHeight="1" x14ac:dyDescent="0.25">
      <c r="A161" s="6" t="s">
        <v>386</v>
      </c>
      <c r="B161" s="7" t="s">
        <v>542</v>
      </c>
      <c r="C161" s="11" t="s">
        <v>32</v>
      </c>
      <c r="D161" s="9" t="s">
        <v>38</v>
      </c>
      <c r="E161" s="6" t="s">
        <v>39</v>
      </c>
      <c r="F161" s="6" t="s">
        <v>107</v>
      </c>
      <c r="G161" s="6" t="s">
        <v>44</v>
      </c>
      <c r="H161" s="6" t="s">
        <v>180</v>
      </c>
      <c r="I161" s="6" t="s">
        <v>73</v>
      </c>
      <c r="J161" s="6">
        <f t="shared" ca="1" si="4"/>
        <v>136</v>
      </c>
      <c r="K161" s="6" t="s">
        <v>118</v>
      </c>
      <c r="L161" s="6" t="s">
        <v>70</v>
      </c>
    </row>
    <row r="162" spans="1:12" ht="15.95" customHeight="1" x14ac:dyDescent="0.25">
      <c r="A162" s="2" t="s">
        <v>387</v>
      </c>
      <c r="B162" s="3" t="s">
        <v>546</v>
      </c>
      <c r="C162" s="19" t="s">
        <v>81</v>
      </c>
      <c r="D162" s="23" t="s">
        <v>43</v>
      </c>
      <c r="E162" s="2" t="s">
        <v>51</v>
      </c>
      <c r="F162" s="2" t="s">
        <v>120</v>
      </c>
      <c r="G162" s="2" t="s">
        <v>44</v>
      </c>
      <c r="H162" s="2" t="s">
        <v>127</v>
      </c>
      <c r="I162" s="2" t="s">
        <v>73</v>
      </c>
      <c r="J162" s="2">
        <f t="shared" ref="J162:J193" ca="1" si="5">IF(I162="—",TODAY()-H162,I162-H162)</f>
        <v>214</v>
      </c>
      <c r="K162" s="2" t="s">
        <v>78</v>
      </c>
      <c r="L162" s="2" t="s">
        <v>95</v>
      </c>
    </row>
    <row r="163" spans="1:12" ht="15.95" customHeight="1" x14ac:dyDescent="0.25">
      <c r="A163" s="6" t="s">
        <v>388</v>
      </c>
      <c r="B163" s="7" t="s">
        <v>542</v>
      </c>
      <c r="C163" s="15" t="s">
        <v>81</v>
      </c>
      <c r="D163" s="20" t="s">
        <v>105</v>
      </c>
      <c r="E163" s="6" t="s">
        <v>83</v>
      </c>
      <c r="F163" s="6" t="s">
        <v>66</v>
      </c>
      <c r="G163" s="6" t="s">
        <v>93</v>
      </c>
      <c r="H163" s="6" t="s">
        <v>389</v>
      </c>
      <c r="I163" s="6" t="s">
        <v>390</v>
      </c>
      <c r="J163" s="6">
        <f t="shared" ca="1" si="5"/>
        <v>3</v>
      </c>
      <c r="K163" s="6" t="s">
        <v>69</v>
      </c>
      <c r="L163" s="6" t="s">
        <v>70</v>
      </c>
    </row>
    <row r="164" spans="1:12" ht="15.95" customHeight="1" x14ac:dyDescent="0.25">
      <c r="A164" s="2" t="s">
        <v>391</v>
      </c>
      <c r="B164" s="3" t="s">
        <v>545</v>
      </c>
      <c r="C164" s="19" t="s">
        <v>81</v>
      </c>
      <c r="D164" s="14" t="s">
        <v>65</v>
      </c>
      <c r="E164" s="2" t="s">
        <v>39</v>
      </c>
      <c r="F164" s="2" t="s">
        <v>99</v>
      </c>
      <c r="G164" s="2" t="s">
        <v>49</v>
      </c>
      <c r="H164" s="2" t="s">
        <v>151</v>
      </c>
      <c r="I164" s="2" t="s">
        <v>219</v>
      </c>
      <c r="J164" s="2">
        <f t="shared" ca="1" si="5"/>
        <v>1</v>
      </c>
      <c r="K164" s="2" t="s">
        <v>89</v>
      </c>
      <c r="L164" s="2" t="s">
        <v>90</v>
      </c>
    </row>
    <row r="165" spans="1:12" ht="15.95" customHeight="1" x14ac:dyDescent="0.25">
      <c r="A165" s="6" t="s">
        <v>392</v>
      </c>
      <c r="B165" s="7" t="s">
        <v>510</v>
      </c>
      <c r="C165" s="15" t="s">
        <v>81</v>
      </c>
      <c r="D165" s="16" t="s">
        <v>82</v>
      </c>
      <c r="E165" s="6" t="s">
        <v>51</v>
      </c>
      <c r="F165" s="6" t="s">
        <v>107</v>
      </c>
      <c r="G165" s="6" t="s">
        <v>35</v>
      </c>
      <c r="H165" s="6" t="s">
        <v>261</v>
      </c>
      <c r="I165" s="6" t="s">
        <v>168</v>
      </c>
      <c r="J165" s="6">
        <f t="shared" ca="1" si="5"/>
        <v>3</v>
      </c>
      <c r="K165" s="6" t="s">
        <v>69</v>
      </c>
      <c r="L165" s="6" t="s">
        <v>79</v>
      </c>
    </row>
    <row r="166" spans="1:12" ht="15.95" customHeight="1" x14ac:dyDescent="0.25">
      <c r="A166" s="2" t="s">
        <v>393</v>
      </c>
      <c r="B166" s="3" t="s">
        <v>506</v>
      </c>
      <c r="C166" s="4" t="s">
        <v>32</v>
      </c>
      <c r="D166" s="17" t="s">
        <v>82</v>
      </c>
      <c r="E166" s="2" t="s">
        <v>46</v>
      </c>
      <c r="F166" s="2" t="s">
        <v>96</v>
      </c>
      <c r="G166" s="2" t="s">
        <v>49</v>
      </c>
      <c r="H166" s="2" t="s">
        <v>350</v>
      </c>
      <c r="I166" s="2" t="s">
        <v>299</v>
      </c>
      <c r="J166" s="2">
        <f t="shared" ca="1" si="5"/>
        <v>6</v>
      </c>
      <c r="K166" s="2" t="s">
        <v>69</v>
      </c>
      <c r="L166" s="2" t="s">
        <v>95</v>
      </c>
    </row>
    <row r="167" spans="1:12" ht="15.95" customHeight="1" x14ac:dyDescent="0.25">
      <c r="A167" s="6" t="s">
        <v>394</v>
      </c>
      <c r="B167" s="7" t="s">
        <v>575</v>
      </c>
      <c r="C167" s="11" t="s">
        <v>32</v>
      </c>
      <c r="D167" s="16" t="s">
        <v>82</v>
      </c>
      <c r="E167" s="6" t="s">
        <v>39</v>
      </c>
      <c r="F167" s="6" t="s">
        <v>92</v>
      </c>
      <c r="G167" s="6" t="s">
        <v>44</v>
      </c>
      <c r="H167" s="6" t="s">
        <v>395</v>
      </c>
      <c r="I167" s="6" t="s">
        <v>148</v>
      </c>
      <c r="J167" s="6">
        <f t="shared" ca="1" si="5"/>
        <v>2</v>
      </c>
      <c r="K167" s="6" t="s">
        <v>78</v>
      </c>
      <c r="L167" s="6" t="s">
        <v>95</v>
      </c>
    </row>
    <row r="168" spans="1:12" ht="15.95" customHeight="1" x14ac:dyDescent="0.25">
      <c r="A168" s="2" t="s">
        <v>396</v>
      </c>
      <c r="B168" s="3" t="s">
        <v>555</v>
      </c>
      <c r="C168" s="19" t="s">
        <v>81</v>
      </c>
      <c r="D168" s="23" t="s">
        <v>43</v>
      </c>
      <c r="E168" s="2" t="s">
        <v>46</v>
      </c>
      <c r="F168" s="2" t="s">
        <v>71</v>
      </c>
      <c r="G168" s="2" t="s">
        <v>44</v>
      </c>
      <c r="H168" s="2" t="s">
        <v>397</v>
      </c>
      <c r="I168" s="2" t="s">
        <v>73</v>
      </c>
      <c r="J168" s="2">
        <f t="shared" ca="1" si="5"/>
        <v>54</v>
      </c>
      <c r="K168" s="2" t="s">
        <v>121</v>
      </c>
      <c r="L168" s="2" t="s">
        <v>90</v>
      </c>
    </row>
    <row r="169" spans="1:12" ht="15.95" customHeight="1" x14ac:dyDescent="0.25">
      <c r="A169" s="6" t="s">
        <v>398</v>
      </c>
      <c r="B169" s="7" t="s">
        <v>532</v>
      </c>
      <c r="C169" s="15" t="s">
        <v>81</v>
      </c>
      <c r="D169" s="8" t="s">
        <v>33</v>
      </c>
      <c r="E169" s="6" t="s">
        <v>46</v>
      </c>
      <c r="F169" s="6" t="s">
        <v>96</v>
      </c>
      <c r="G169" s="6" t="s">
        <v>47</v>
      </c>
      <c r="H169" s="6" t="s">
        <v>129</v>
      </c>
      <c r="I169" s="6" t="s">
        <v>73</v>
      </c>
      <c r="J169" s="6">
        <f t="shared" ca="1" si="5"/>
        <v>52</v>
      </c>
      <c r="K169" s="6" t="s">
        <v>78</v>
      </c>
      <c r="L169" s="6" t="s">
        <v>90</v>
      </c>
    </row>
    <row r="170" spans="1:12" ht="15.95" customHeight="1" x14ac:dyDescent="0.25">
      <c r="A170" s="2" t="s">
        <v>399</v>
      </c>
      <c r="B170" s="3" t="s">
        <v>550</v>
      </c>
      <c r="C170" s="19" t="s">
        <v>81</v>
      </c>
      <c r="D170" s="24" t="s">
        <v>105</v>
      </c>
      <c r="E170" s="2" t="s">
        <v>46</v>
      </c>
      <c r="F170" s="2" t="s">
        <v>71</v>
      </c>
      <c r="G170" s="2" t="s">
        <v>49</v>
      </c>
      <c r="H170" s="2" t="s">
        <v>129</v>
      </c>
      <c r="I170" s="2" t="s">
        <v>400</v>
      </c>
      <c r="J170" s="2">
        <f t="shared" ca="1" si="5"/>
        <v>3</v>
      </c>
      <c r="K170" s="2" t="s">
        <v>74</v>
      </c>
      <c r="L170" s="2" t="s">
        <v>70</v>
      </c>
    </row>
    <row r="171" spans="1:12" ht="15.95" customHeight="1" x14ac:dyDescent="0.25">
      <c r="A171" s="6" t="s">
        <v>401</v>
      </c>
      <c r="B171" s="7" t="s">
        <v>519</v>
      </c>
      <c r="C171" s="15" t="s">
        <v>81</v>
      </c>
      <c r="D171" s="20" t="s">
        <v>105</v>
      </c>
      <c r="E171" s="6" t="s">
        <v>46</v>
      </c>
      <c r="F171" s="6" t="s">
        <v>120</v>
      </c>
      <c r="G171" s="6" t="s">
        <v>47</v>
      </c>
      <c r="H171" s="6" t="s">
        <v>402</v>
      </c>
      <c r="I171" s="6" t="s">
        <v>283</v>
      </c>
      <c r="J171" s="6">
        <f t="shared" ca="1" si="5"/>
        <v>8</v>
      </c>
      <c r="K171" s="6" t="s">
        <v>121</v>
      </c>
      <c r="L171" s="6" t="s">
        <v>70</v>
      </c>
    </row>
    <row r="172" spans="1:12" ht="15.95" customHeight="1" x14ac:dyDescent="0.25">
      <c r="A172" s="2" t="s">
        <v>403</v>
      </c>
      <c r="B172" s="3" t="s">
        <v>548</v>
      </c>
      <c r="C172" s="19" t="s">
        <v>81</v>
      </c>
      <c r="D172" s="17" t="s">
        <v>82</v>
      </c>
      <c r="E172" s="2" t="s">
        <v>46</v>
      </c>
      <c r="F172" s="2" t="s">
        <v>92</v>
      </c>
      <c r="G172" s="2" t="s">
        <v>54</v>
      </c>
      <c r="H172" s="2" t="s">
        <v>404</v>
      </c>
      <c r="I172" s="2" t="s">
        <v>246</v>
      </c>
      <c r="J172" s="2">
        <f t="shared" ca="1" si="5"/>
        <v>10</v>
      </c>
      <c r="K172" s="2" t="s">
        <v>118</v>
      </c>
      <c r="L172" s="2" t="s">
        <v>95</v>
      </c>
    </row>
    <row r="173" spans="1:12" ht="15.95" customHeight="1" x14ac:dyDescent="0.25">
      <c r="A173" s="6" t="s">
        <v>405</v>
      </c>
      <c r="B173" s="7" t="s">
        <v>576</v>
      </c>
      <c r="C173" s="22" t="s">
        <v>111</v>
      </c>
      <c r="D173" s="18" t="s">
        <v>65</v>
      </c>
      <c r="E173" s="6" t="s">
        <v>53</v>
      </c>
      <c r="F173" s="6" t="s">
        <v>92</v>
      </c>
      <c r="G173" s="6" t="s">
        <v>41</v>
      </c>
      <c r="H173" s="6" t="s">
        <v>311</v>
      </c>
      <c r="I173" s="6" t="s">
        <v>406</v>
      </c>
      <c r="J173" s="6">
        <f t="shared" ca="1" si="5"/>
        <v>11</v>
      </c>
      <c r="K173" s="6" t="s">
        <v>89</v>
      </c>
      <c r="L173" s="6" t="s">
        <v>90</v>
      </c>
    </row>
    <row r="174" spans="1:12" ht="15.95" customHeight="1" x14ac:dyDescent="0.25">
      <c r="A174" s="2" t="s">
        <v>407</v>
      </c>
      <c r="B174" s="3" t="s">
        <v>526</v>
      </c>
      <c r="C174" s="4" t="s">
        <v>32</v>
      </c>
      <c r="D174" s="17" t="s">
        <v>82</v>
      </c>
      <c r="E174" s="2" t="s">
        <v>76</v>
      </c>
      <c r="F174" s="2" t="s">
        <v>99</v>
      </c>
      <c r="G174" s="2" t="s">
        <v>44</v>
      </c>
      <c r="H174" s="2" t="s">
        <v>342</v>
      </c>
      <c r="I174" s="2" t="s">
        <v>217</v>
      </c>
      <c r="J174" s="2">
        <f t="shared" ca="1" si="5"/>
        <v>12</v>
      </c>
      <c r="K174" s="2" t="s">
        <v>78</v>
      </c>
      <c r="L174" s="2" t="s">
        <v>90</v>
      </c>
    </row>
    <row r="175" spans="1:12" ht="15.95" customHeight="1" x14ac:dyDescent="0.25">
      <c r="A175" s="6" t="s">
        <v>408</v>
      </c>
      <c r="B175" s="7" t="s">
        <v>577</v>
      </c>
      <c r="C175" s="22" t="s">
        <v>111</v>
      </c>
      <c r="D175" s="16" t="s">
        <v>82</v>
      </c>
      <c r="E175" s="6" t="s">
        <v>46</v>
      </c>
      <c r="F175" s="6" t="s">
        <v>96</v>
      </c>
      <c r="G175" s="6" t="s">
        <v>49</v>
      </c>
      <c r="H175" s="6" t="s">
        <v>169</v>
      </c>
      <c r="I175" s="6" t="s">
        <v>176</v>
      </c>
      <c r="J175" s="6">
        <f t="shared" ca="1" si="5"/>
        <v>11</v>
      </c>
      <c r="K175" s="6" t="s">
        <v>69</v>
      </c>
      <c r="L175" s="6" t="s">
        <v>90</v>
      </c>
    </row>
    <row r="176" spans="1:12" ht="15.95" customHeight="1" x14ac:dyDescent="0.25">
      <c r="A176" s="2" t="s">
        <v>409</v>
      </c>
      <c r="B176" s="3" t="s">
        <v>565</v>
      </c>
      <c r="C176" s="19" t="s">
        <v>81</v>
      </c>
      <c r="D176" s="14" t="s">
        <v>65</v>
      </c>
      <c r="E176" s="2" t="s">
        <v>83</v>
      </c>
      <c r="F176" s="2" t="s">
        <v>120</v>
      </c>
      <c r="G176" s="2" t="s">
        <v>41</v>
      </c>
      <c r="H176" s="2" t="s">
        <v>406</v>
      </c>
      <c r="I176" s="2" t="s">
        <v>189</v>
      </c>
      <c r="J176" s="2">
        <f t="shared" ca="1" si="5"/>
        <v>10</v>
      </c>
      <c r="K176" s="2" t="s">
        <v>118</v>
      </c>
      <c r="L176" s="2" t="s">
        <v>95</v>
      </c>
    </row>
    <row r="177" spans="1:12" ht="15.95" customHeight="1" x14ac:dyDescent="0.25">
      <c r="A177" s="6" t="s">
        <v>410</v>
      </c>
      <c r="B177" s="7" t="s">
        <v>523</v>
      </c>
      <c r="C177" s="11" t="s">
        <v>32</v>
      </c>
      <c r="D177" s="20" t="s">
        <v>105</v>
      </c>
      <c r="E177" s="6" t="s">
        <v>39</v>
      </c>
      <c r="F177" s="6" t="s">
        <v>107</v>
      </c>
      <c r="G177" s="6" t="s">
        <v>47</v>
      </c>
      <c r="H177" s="6" t="s">
        <v>362</v>
      </c>
      <c r="I177" s="6" t="s">
        <v>411</v>
      </c>
      <c r="J177" s="6">
        <f t="shared" ca="1" si="5"/>
        <v>10</v>
      </c>
      <c r="K177" s="6" t="s">
        <v>121</v>
      </c>
      <c r="L177" s="6" t="s">
        <v>90</v>
      </c>
    </row>
    <row r="178" spans="1:12" ht="15.95" customHeight="1" x14ac:dyDescent="0.25">
      <c r="A178" s="2" t="s">
        <v>412</v>
      </c>
      <c r="B178" s="3" t="s">
        <v>575</v>
      </c>
      <c r="C178" s="19" t="s">
        <v>81</v>
      </c>
      <c r="D178" s="17" t="s">
        <v>82</v>
      </c>
      <c r="E178" s="2" t="s">
        <v>106</v>
      </c>
      <c r="F178" s="2" t="s">
        <v>92</v>
      </c>
      <c r="G178" s="2" t="s">
        <v>54</v>
      </c>
      <c r="H178" s="2" t="s">
        <v>315</v>
      </c>
      <c r="I178" s="2" t="s">
        <v>413</v>
      </c>
      <c r="J178" s="2">
        <f t="shared" ca="1" si="5"/>
        <v>12</v>
      </c>
      <c r="K178" s="2" t="s">
        <v>74</v>
      </c>
      <c r="L178" s="2" t="s">
        <v>95</v>
      </c>
    </row>
    <row r="179" spans="1:12" ht="15.95" customHeight="1" x14ac:dyDescent="0.25">
      <c r="A179" s="6" t="s">
        <v>414</v>
      </c>
      <c r="B179" s="7" t="s">
        <v>578</v>
      </c>
      <c r="C179" s="11" t="s">
        <v>32</v>
      </c>
      <c r="D179" s="18" t="s">
        <v>65</v>
      </c>
      <c r="E179" s="6" t="s">
        <v>51</v>
      </c>
      <c r="F179" s="6" t="s">
        <v>96</v>
      </c>
      <c r="G179" s="6" t="s">
        <v>44</v>
      </c>
      <c r="H179" s="6" t="s">
        <v>261</v>
      </c>
      <c r="I179" s="6" t="s">
        <v>196</v>
      </c>
      <c r="J179" s="6">
        <f t="shared" ca="1" si="5"/>
        <v>6</v>
      </c>
      <c r="K179" s="6" t="s">
        <v>78</v>
      </c>
      <c r="L179" s="6" t="s">
        <v>90</v>
      </c>
    </row>
    <row r="180" spans="1:12" ht="15.95" customHeight="1" x14ac:dyDescent="0.25">
      <c r="A180" s="2" t="s">
        <v>415</v>
      </c>
      <c r="B180" s="3" t="s">
        <v>579</v>
      </c>
      <c r="C180" s="4" t="s">
        <v>32</v>
      </c>
      <c r="D180" s="17" t="s">
        <v>82</v>
      </c>
      <c r="E180" s="2" t="s">
        <v>106</v>
      </c>
      <c r="F180" s="2" t="s">
        <v>99</v>
      </c>
      <c r="G180" s="2" t="s">
        <v>35</v>
      </c>
      <c r="H180" s="2" t="s">
        <v>154</v>
      </c>
      <c r="I180" s="2" t="s">
        <v>292</v>
      </c>
      <c r="J180" s="2">
        <f t="shared" ca="1" si="5"/>
        <v>3</v>
      </c>
      <c r="K180" s="2" t="s">
        <v>74</v>
      </c>
      <c r="L180" s="2" t="s">
        <v>90</v>
      </c>
    </row>
    <row r="181" spans="1:12" ht="15.95" customHeight="1" x14ac:dyDescent="0.25">
      <c r="A181" s="6" t="s">
        <v>416</v>
      </c>
      <c r="B181" s="7" t="s">
        <v>505</v>
      </c>
      <c r="C181" s="22" t="s">
        <v>111</v>
      </c>
      <c r="D181" s="18" t="s">
        <v>65</v>
      </c>
      <c r="E181" s="6" t="s">
        <v>34</v>
      </c>
      <c r="F181" s="6" t="s">
        <v>92</v>
      </c>
      <c r="G181" s="6" t="s">
        <v>47</v>
      </c>
      <c r="H181" s="6" t="s">
        <v>216</v>
      </c>
      <c r="I181" s="6" t="s">
        <v>355</v>
      </c>
      <c r="J181" s="6">
        <f t="shared" ca="1" si="5"/>
        <v>4</v>
      </c>
      <c r="K181" s="6" t="s">
        <v>121</v>
      </c>
      <c r="L181" s="6" t="s">
        <v>79</v>
      </c>
    </row>
    <row r="182" spans="1:12" ht="15.95" customHeight="1" x14ac:dyDescent="0.25">
      <c r="A182" s="2" t="s">
        <v>417</v>
      </c>
      <c r="B182" s="3" t="s">
        <v>580</v>
      </c>
      <c r="C182" s="21" t="s">
        <v>111</v>
      </c>
      <c r="D182" s="17" t="s">
        <v>82</v>
      </c>
      <c r="E182" s="2" t="s">
        <v>83</v>
      </c>
      <c r="F182" s="2" t="s">
        <v>120</v>
      </c>
      <c r="G182" s="2" t="s">
        <v>47</v>
      </c>
      <c r="H182" s="2" t="s">
        <v>84</v>
      </c>
      <c r="I182" s="2" t="s">
        <v>418</v>
      </c>
      <c r="J182" s="2">
        <f t="shared" ca="1" si="5"/>
        <v>4</v>
      </c>
      <c r="K182" s="2" t="s">
        <v>121</v>
      </c>
      <c r="L182" s="2" t="s">
        <v>70</v>
      </c>
    </row>
    <row r="183" spans="1:12" ht="15.95" customHeight="1" x14ac:dyDescent="0.25">
      <c r="A183" s="6" t="s">
        <v>419</v>
      </c>
      <c r="B183" s="7" t="s">
        <v>573</v>
      </c>
      <c r="C183" s="15" t="s">
        <v>81</v>
      </c>
      <c r="D183" s="18" t="s">
        <v>65</v>
      </c>
      <c r="E183" s="6" t="s">
        <v>51</v>
      </c>
      <c r="F183" s="6" t="s">
        <v>99</v>
      </c>
      <c r="G183" s="6" t="s">
        <v>35</v>
      </c>
      <c r="H183" s="6" t="s">
        <v>269</v>
      </c>
      <c r="I183" s="6" t="s">
        <v>103</v>
      </c>
      <c r="J183" s="6">
        <f t="shared" ca="1" si="5"/>
        <v>7</v>
      </c>
      <c r="K183" s="6" t="s">
        <v>78</v>
      </c>
      <c r="L183" s="6" t="s">
        <v>79</v>
      </c>
    </row>
    <row r="184" spans="1:12" ht="15.95" customHeight="1" x14ac:dyDescent="0.25">
      <c r="A184" s="2" t="s">
        <v>420</v>
      </c>
      <c r="B184" s="3" t="s">
        <v>518</v>
      </c>
      <c r="C184" s="5" t="s">
        <v>37</v>
      </c>
      <c r="D184" s="24" t="s">
        <v>105</v>
      </c>
      <c r="E184" s="2" t="s">
        <v>106</v>
      </c>
      <c r="F184" s="2" t="s">
        <v>96</v>
      </c>
      <c r="G184" s="2" t="s">
        <v>54</v>
      </c>
      <c r="H184" s="2" t="s">
        <v>421</v>
      </c>
      <c r="I184" s="2" t="s">
        <v>422</v>
      </c>
      <c r="J184" s="2">
        <f t="shared" ca="1" si="5"/>
        <v>6</v>
      </c>
      <c r="K184" s="2" t="s">
        <v>69</v>
      </c>
      <c r="L184" s="2" t="s">
        <v>95</v>
      </c>
    </row>
    <row r="185" spans="1:12" ht="15.95" customHeight="1" x14ac:dyDescent="0.25">
      <c r="A185" s="6" t="s">
        <v>423</v>
      </c>
      <c r="B185" s="7" t="s">
        <v>545</v>
      </c>
      <c r="C185" s="15" t="s">
        <v>81</v>
      </c>
      <c r="D185" s="8" t="s">
        <v>33</v>
      </c>
      <c r="E185" s="6" t="s">
        <v>51</v>
      </c>
      <c r="F185" s="6" t="s">
        <v>96</v>
      </c>
      <c r="G185" s="6" t="s">
        <v>93</v>
      </c>
      <c r="H185" s="6" t="s">
        <v>327</v>
      </c>
      <c r="I185" s="6" t="s">
        <v>73</v>
      </c>
      <c r="J185" s="6">
        <f t="shared" ca="1" si="5"/>
        <v>75</v>
      </c>
      <c r="K185" s="6" t="s">
        <v>74</v>
      </c>
      <c r="L185" s="6" t="s">
        <v>90</v>
      </c>
    </row>
    <row r="186" spans="1:12" ht="15.95" customHeight="1" x14ac:dyDescent="0.25">
      <c r="A186" s="2" t="s">
        <v>424</v>
      </c>
      <c r="B186" s="3" t="s">
        <v>575</v>
      </c>
      <c r="C186" s="19" t="s">
        <v>81</v>
      </c>
      <c r="D186" s="17" t="s">
        <v>82</v>
      </c>
      <c r="E186" s="2" t="s">
        <v>51</v>
      </c>
      <c r="F186" s="2" t="s">
        <v>99</v>
      </c>
      <c r="G186" s="2" t="s">
        <v>54</v>
      </c>
      <c r="H186" s="2" t="s">
        <v>350</v>
      </c>
      <c r="I186" s="2" t="s">
        <v>261</v>
      </c>
      <c r="J186" s="2">
        <f t="shared" ca="1" si="5"/>
        <v>1</v>
      </c>
      <c r="K186" s="2" t="s">
        <v>69</v>
      </c>
      <c r="L186" s="2" t="s">
        <v>70</v>
      </c>
    </row>
    <row r="187" spans="1:12" ht="15.95" customHeight="1" x14ac:dyDescent="0.25">
      <c r="A187" s="6" t="s">
        <v>425</v>
      </c>
      <c r="B187" s="7" t="s">
        <v>496</v>
      </c>
      <c r="C187" s="15" t="s">
        <v>81</v>
      </c>
      <c r="D187" s="16" t="s">
        <v>82</v>
      </c>
      <c r="E187" s="6" t="s">
        <v>106</v>
      </c>
      <c r="F187" s="6" t="s">
        <v>96</v>
      </c>
      <c r="G187" s="6" t="s">
        <v>47</v>
      </c>
      <c r="H187" s="6" t="s">
        <v>275</v>
      </c>
      <c r="I187" s="6" t="s">
        <v>276</v>
      </c>
      <c r="J187" s="6">
        <f t="shared" ca="1" si="5"/>
        <v>6</v>
      </c>
      <c r="K187" s="6" t="s">
        <v>69</v>
      </c>
      <c r="L187" s="6" t="s">
        <v>95</v>
      </c>
    </row>
    <row r="188" spans="1:12" ht="15.95" customHeight="1" x14ac:dyDescent="0.25">
      <c r="A188" s="2" t="s">
        <v>426</v>
      </c>
      <c r="B188" s="3" t="s">
        <v>495</v>
      </c>
      <c r="C188" s="21" t="s">
        <v>111</v>
      </c>
      <c r="D188" s="24" t="s">
        <v>105</v>
      </c>
      <c r="E188" s="2" t="s">
        <v>83</v>
      </c>
      <c r="F188" s="2" t="s">
        <v>107</v>
      </c>
      <c r="G188" s="2" t="s">
        <v>93</v>
      </c>
      <c r="H188" s="2" t="s">
        <v>146</v>
      </c>
      <c r="I188" s="2" t="s">
        <v>186</v>
      </c>
      <c r="J188" s="2">
        <f t="shared" ca="1" si="5"/>
        <v>12</v>
      </c>
      <c r="K188" s="2" t="s">
        <v>118</v>
      </c>
      <c r="L188" s="2" t="s">
        <v>79</v>
      </c>
    </row>
    <row r="189" spans="1:12" ht="15.95" customHeight="1" x14ac:dyDescent="0.25">
      <c r="A189" s="6" t="s">
        <v>427</v>
      </c>
      <c r="B189" s="7" t="s">
        <v>534</v>
      </c>
      <c r="C189" s="15" t="s">
        <v>81</v>
      </c>
      <c r="D189" s="18" t="s">
        <v>65</v>
      </c>
      <c r="E189" s="6" t="s">
        <v>76</v>
      </c>
      <c r="F189" s="6" t="s">
        <v>66</v>
      </c>
      <c r="G189" s="6" t="s">
        <v>58</v>
      </c>
      <c r="H189" s="6" t="s">
        <v>212</v>
      </c>
      <c r="I189" s="6" t="s">
        <v>200</v>
      </c>
      <c r="J189" s="6">
        <f t="shared" ca="1" si="5"/>
        <v>12</v>
      </c>
      <c r="K189" s="6" t="s">
        <v>118</v>
      </c>
      <c r="L189" s="6" t="s">
        <v>79</v>
      </c>
    </row>
    <row r="190" spans="1:12" ht="15.95" customHeight="1" x14ac:dyDescent="0.25">
      <c r="A190" s="2" t="s">
        <v>428</v>
      </c>
      <c r="B190" s="3" t="s">
        <v>500</v>
      </c>
      <c r="C190" s="19" t="s">
        <v>81</v>
      </c>
      <c r="D190" s="24" t="s">
        <v>105</v>
      </c>
      <c r="E190" s="2" t="s">
        <v>56</v>
      </c>
      <c r="F190" s="2" t="s">
        <v>120</v>
      </c>
      <c r="G190" s="2" t="s">
        <v>44</v>
      </c>
      <c r="H190" s="2" t="s">
        <v>429</v>
      </c>
      <c r="I190" s="2" t="s">
        <v>196</v>
      </c>
      <c r="J190" s="2">
        <f t="shared" ca="1" si="5"/>
        <v>12</v>
      </c>
      <c r="K190" s="2" t="s">
        <v>74</v>
      </c>
      <c r="L190" s="2" t="s">
        <v>79</v>
      </c>
    </row>
    <row r="191" spans="1:12" ht="15.95" customHeight="1" x14ac:dyDescent="0.25">
      <c r="A191" s="6" t="s">
        <v>430</v>
      </c>
      <c r="B191" s="7" t="s">
        <v>560</v>
      </c>
      <c r="C191" s="11" t="s">
        <v>32</v>
      </c>
      <c r="D191" s="9" t="s">
        <v>38</v>
      </c>
      <c r="E191" s="6" t="s">
        <v>133</v>
      </c>
      <c r="F191" s="6" t="s">
        <v>92</v>
      </c>
      <c r="G191" s="6" t="s">
        <v>41</v>
      </c>
      <c r="H191" s="6" t="s">
        <v>257</v>
      </c>
      <c r="I191" s="6" t="s">
        <v>73</v>
      </c>
      <c r="J191" s="6">
        <f t="shared" ca="1" si="5"/>
        <v>122</v>
      </c>
      <c r="K191" s="6" t="s">
        <v>118</v>
      </c>
      <c r="L191" s="6" t="s">
        <v>90</v>
      </c>
    </row>
    <row r="192" spans="1:12" ht="15.95" customHeight="1" x14ac:dyDescent="0.25">
      <c r="A192" s="2" t="s">
        <v>431</v>
      </c>
      <c r="B192" s="3" t="s">
        <v>544</v>
      </c>
      <c r="C192" s="4" t="s">
        <v>32</v>
      </c>
      <c r="D192" s="17" t="s">
        <v>82</v>
      </c>
      <c r="E192" s="2" t="s">
        <v>51</v>
      </c>
      <c r="F192" s="2" t="s">
        <v>71</v>
      </c>
      <c r="G192" s="2" t="s">
        <v>54</v>
      </c>
      <c r="H192" s="2" t="s">
        <v>432</v>
      </c>
      <c r="I192" s="2" t="s">
        <v>306</v>
      </c>
      <c r="J192" s="2">
        <f t="shared" ca="1" si="5"/>
        <v>11</v>
      </c>
      <c r="K192" s="2" t="s">
        <v>69</v>
      </c>
      <c r="L192" s="2" t="s">
        <v>95</v>
      </c>
    </row>
    <row r="193" spans="1:12" ht="15.95" customHeight="1" x14ac:dyDescent="0.25">
      <c r="A193" s="6" t="s">
        <v>433</v>
      </c>
      <c r="B193" s="7" t="s">
        <v>577</v>
      </c>
      <c r="C193" s="15" t="s">
        <v>81</v>
      </c>
      <c r="D193" s="18" t="s">
        <v>65</v>
      </c>
      <c r="E193" s="6" t="s">
        <v>56</v>
      </c>
      <c r="F193" s="6" t="s">
        <v>71</v>
      </c>
      <c r="G193" s="6" t="s">
        <v>47</v>
      </c>
      <c r="H193" s="6" t="s">
        <v>255</v>
      </c>
      <c r="I193" s="6" t="s">
        <v>434</v>
      </c>
      <c r="J193" s="6">
        <f t="shared" ca="1" si="5"/>
        <v>12</v>
      </c>
      <c r="K193" s="6" t="s">
        <v>69</v>
      </c>
      <c r="L193" s="6" t="s">
        <v>95</v>
      </c>
    </row>
    <row r="194" spans="1:12" ht="15.95" customHeight="1" x14ac:dyDescent="0.25">
      <c r="A194" s="2" t="s">
        <v>435</v>
      </c>
      <c r="B194" s="3" t="s">
        <v>504</v>
      </c>
      <c r="C194" s="21" t="s">
        <v>111</v>
      </c>
      <c r="D194" s="23" t="s">
        <v>43</v>
      </c>
      <c r="E194" s="2" t="s">
        <v>34</v>
      </c>
      <c r="F194" s="2" t="s">
        <v>107</v>
      </c>
      <c r="G194" s="2" t="s">
        <v>54</v>
      </c>
      <c r="H194" s="2" t="s">
        <v>194</v>
      </c>
      <c r="I194" s="2" t="s">
        <v>73</v>
      </c>
      <c r="J194" s="2">
        <f t="shared" ref="J194:J225" ca="1" si="6">IF(I194="—",TODAY()-H194,I194-H194)</f>
        <v>177</v>
      </c>
      <c r="K194" s="2" t="s">
        <v>78</v>
      </c>
      <c r="L194" s="2" t="s">
        <v>95</v>
      </c>
    </row>
    <row r="195" spans="1:12" ht="15.95" customHeight="1" x14ac:dyDescent="0.25">
      <c r="A195" s="6" t="s">
        <v>436</v>
      </c>
      <c r="B195" s="7" t="s">
        <v>509</v>
      </c>
      <c r="C195" s="11" t="s">
        <v>32</v>
      </c>
      <c r="D195" s="20" t="s">
        <v>105</v>
      </c>
      <c r="E195" s="6" t="s">
        <v>53</v>
      </c>
      <c r="F195" s="6" t="s">
        <v>107</v>
      </c>
      <c r="G195" s="6" t="s">
        <v>41</v>
      </c>
      <c r="H195" s="6" t="s">
        <v>269</v>
      </c>
      <c r="I195" s="6" t="s">
        <v>103</v>
      </c>
      <c r="J195" s="6">
        <f t="shared" ca="1" si="6"/>
        <v>7</v>
      </c>
      <c r="K195" s="6" t="s">
        <v>78</v>
      </c>
      <c r="L195" s="6" t="s">
        <v>79</v>
      </c>
    </row>
    <row r="196" spans="1:12" ht="15.95" customHeight="1" x14ac:dyDescent="0.25">
      <c r="A196" s="2" t="s">
        <v>437</v>
      </c>
      <c r="B196" s="3" t="s">
        <v>581</v>
      </c>
      <c r="C196" s="21" t="s">
        <v>111</v>
      </c>
      <c r="D196" s="24" t="s">
        <v>105</v>
      </c>
      <c r="E196" s="2" t="s">
        <v>39</v>
      </c>
      <c r="F196" s="2" t="s">
        <v>107</v>
      </c>
      <c r="G196" s="2" t="s">
        <v>47</v>
      </c>
      <c r="H196" s="2" t="s">
        <v>179</v>
      </c>
      <c r="I196" s="2" t="s">
        <v>438</v>
      </c>
      <c r="J196" s="2">
        <f t="shared" ca="1" si="6"/>
        <v>12</v>
      </c>
      <c r="K196" s="2" t="s">
        <v>74</v>
      </c>
      <c r="L196" s="2" t="s">
        <v>79</v>
      </c>
    </row>
    <row r="197" spans="1:12" ht="15.95" customHeight="1" x14ac:dyDescent="0.25">
      <c r="A197" s="6" t="s">
        <v>439</v>
      </c>
      <c r="B197" s="7" t="s">
        <v>582</v>
      </c>
      <c r="C197" s="15" t="s">
        <v>81</v>
      </c>
      <c r="D197" s="9" t="s">
        <v>38</v>
      </c>
      <c r="E197" s="6" t="s">
        <v>56</v>
      </c>
      <c r="F197" s="6" t="s">
        <v>120</v>
      </c>
      <c r="G197" s="6" t="s">
        <v>44</v>
      </c>
      <c r="H197" s="6" t="s">
        <v>440</v>
      </c>
      <c r="I197" s="6" t="s">
        <v>73</v>
      </c>
      <c r="J197" s="6">
        <f t="shared" ca="1" si="6"/>
        <v>77</v>
      </c>
      <c r="K197" s="6" t="s">
        <v>121</v>
      </c>
      <c r="L197" s="6" t="s">
        <v>95</v>
      </c>
    </row>
    <row r="198" spans="1:12" ht="15.95" customHeight="1" x14ac:dyDescent="0.25">
      <c r="A198" s="2" t="s">
        <v>441</v>
      </c>
      <c r="B198" s="3" t="s">
        <v>582</v>
      </c>
      <c r="C198" s="19" t="s">
        <v>81</v>
      </c>
      <c r="D198" s="24" t="s">
        <v>105</v>
      </c>
      <c r="E198" s="2" t="s">
        <v>106</v>
      </c>
      <c r="F198" s="2" t="s">
        <v>66</v>
      </c>
      <c r="G198" s="2" t="s">
        <v>54</v>
      </c>
      <c r="H198" s="2" t="s">
        <v>236</v>
      </c>
      <c r="I198" s="2" t="s">
        <v>316</v>
      </c>
      <c r="J198" s="2">
        <f t="shared" ca="1" si="6"/>
        <v>3</v>
      </c>
      <c r="K198" s="2" t="s">
        <v>121</v>
      </c>
      <c r="L198" s="2" t="s">
        <v>90</v>
      </c>
    </row>
    <row r="199" spans="1:12" ht="15.95" customHeight="1" x14ac:dyDescent="0.25">
      <c r="A199" s="6" t="s">
        <v>442</v>
      </c>
      <c r="B199" s="7" t="s">
        <v>583</v>
      </c>
      <c r="C199" s="22" t="s">
        <v>111</v>
      </c>
      <c r="D199" s="16" t="s">
        <v>82</v>
      </c>
      <c r="E199" s="6" t="s">
        <v>133</v>
      </c>
      <c r="F199" s="6" t="s">
        <v>71</v>
      </c>
      <c r="G199" s="6" t="s">
        <v>41</v>
      </c>
      <c r="H199" s="6" t="s">
        <v>443</v>
      </c>
      <c r="I199" s="6" t="s">
        <v>372</v>
      </c>
      <c r="J199" s="6">
        <f t="shared" ca="1" si="6"/>
        <v>11</v>
      </c>
      <c r="K199" s="6" t="s">
        <v>74</v>
      </c>
      <c r="L199" s="6" t="s">
        <v>70</v>
      </c>
    </row>
    <row r="200" spans="1:12" ht="15.95" customHeight="1" x14ac:dyDescent="0.25">
      <c r="A200" s="2" t="s">
        <v>444</v>
      </c>
      <c r="B200" s="3" t="s">
        <v>512</v>
      </c>
      <c r="C200" s="21" t="s">
        <v>111</v>
      </c>
      <c r="D200" s="5" t="s">
        <v>33</v>
      </c>
      <c r="E200" s="2" t="s">
        <v>76</v>
      </c>
      <c r="F200" s="2" t="s">
        <v>120</v>
      </c>
      <c r="G200" s="2" t="s">
        <v>41</v>
      </c>
      <c r="H200" s="2" t="s">
        <v>202</v>
      </c>
      <c r="I200" s="2" t="s">
        <v>73</v>
      </c>
      <c r="J200" s="2">
        <f t="shared" ca="1" si="6"/>
        <v>189</v>
      </c>
      <c r="K200" s="2" t="s">
        <v>78</v>
      </c>
      <c r="L200" s="2" t="s">
        <v>79</v>
      </c>
    </row>
    <row r="201" spans="1:12" ht="15.95" customHeight="1" x14ac:dyDescent="0.25">
      <c r="A201" s="6" t="s">
        <v>52</v>
      </c>
      <c r="B201" s="7" t="s">
        <v>551</v>
      </c>
      <c r="C201" s="11" t="s">
        <v>32</v>
      </c>
      <c r="D201" s="12" t="s">
        <v>43</v>
      </c>
      <c r="E201" s="6" t="s">
        <v>53</v>
      </c>
      <c r="F201" s="6" t="s">
        <v>99</v>
      </c>
      <c r="G201" s="6" t="s">
        <v>54</v>
      </c>
      <c r="H201" s="6" t="s">
        <v>445</v>
      </c>
      <c r="I201" s="6" t="s">
        <v>73</v>
      </c>
      <c r="J201" s="6">
        <f t="shared" ca="1" si="6"/>
        <v>149</v>
      </c>
      <c r="K201" s="6" t="s">
        <v>78</v>
      </c>
      <c r="L201" s="6" t="s">
        <v>90</v>
      </c>
    </row>
    <row r="202" spans="1:12" x14ac:dyDescent="0.25">
      <c r="A202" s="6"/>
      <c r="B202" s="7"/>
      <c r="C202" s="11"/>
      <c r="D202" s="12"/>
      <c r="E202" s="6"/>
      <c r="F202" s="6"/>
      <c r="G202" s="6"/>
      <c r="H202" s="6"/>
      <c r="I202" s="6"/>
      <c r="J202" s="6"/>
      <c r="K202" s="6"/>
      <c r="L202" s="6"/>
    </row>
    <row r="203" spans="1:12" x14ac:dyDescent="0.25">
      <c r="J203" t="str">
        <f t="shared" ref="J203:J266" ca="1" si="7">IF(A203="","",IF(I203="—",TODAY()-H203,I203-H203))</f>
        <v/>
      </c>
    </row>
    <row r="204" spans="1:12" x14ac:dyDescent="0.25">
      <c r="J204" t="str">
        <f t="shared" ca="1" si="7"/>
        <v/>
      </c>
    </row>
    <row r="205" spans="1:12" x14ac:dyDescent="0.25">
      <c r="J205" t="str">
        <f t="shared" ca="1" si="7"/>
        <v/>
      </c>
    </row>
    <row r="206" spans="1:12" x14ac:dyDescent="0.25">
      <c r="J206" t="str">
        <f t="shared" ca="1" si="7"/>
        <v/>
      </c>
    </row>
    <row r="207" spans="1:12" x14ac:dyDescent="0.25">
      <c r="J207" t="str">
        <f t="shared" ca="1" si="7"/>
        <v/>
      </c>
    </row>
    <row r="208" spans="1:12" x14ac:dyDescent="0.25">
      <c r="J208" t="str">
        <f t="shared" ca="1" si="7"/>
        <v/>
      </c>
    </row>
    <row r="209" spans="10:10" x14ac:dyDescent="0.25">
      <c r="J209" t="str">
        <f t="shared" ca="1" si="7"/>
        <v/>
      </c>
    </row>
    <row r="210" spans="10:10" x14ac:dyDescent="0.25">
      <c r="J210" t="str">
        <f t="shared" ca="1" si="7"/>
        <v/>
      </c>
    </row>
    <row r="211" spans="10:10" x14ac:dyDescent="0.25">
      <c r="J211" t="str">
        <f t="shared" ca="1" si="7"/>
        <v/>
      </c>
    </row>
    <row r="212" spans="10:10" x14ac:dyDescent="0.25">
      <c r="J212" t="str">
        <f t="shared" ca="1" si="7"/>
        <v/>
      </c>
    </row>
    <row r="213" spans="10:10" x14ac:dyDescent="0.25">
      <c r="J213" t="str">
        <f t="shared" ca="1" si="7"/>
        <v/>
      </c>
    </row>
    <row r="214" spans="10:10" x14ac:dyDescent="0.25">
      <c r="J214" t="str">
        <f t="shared" ca="1" si="7"/>
        <v/>
      </c>
    </row>
    <row r="215" spans="10:10" x14ac:dyDescent="0.25">
      <c r="J215" t="str">
        <f t="shared" ca="1" si="7"/>
        <v/>
      </c>
    </row>
    <row r="216" spans="10:10" x14ac:dyDescent="0.25">
      <c r="J216" t="str">
        <f t="shared" ca="1" si="7"/>
        <v/>
      </c>
    </row>
    <row r="217" spans="10:10" x14ac:dyDescent="0.25">
      <c r="J217" t="str">
        <f t="shared" ca="1" si="7"/>
        <v/>
      </c>
    </row>
    <row r="218" spans="10:10" x14ac:dyDescent="0.25">
      <c r="J218" t="str">
        <f t="shared" ca="1" si="7"/>
        <v/>
      </c>
    </row>
    <row r="219" spans="10:10" x14ac:dyDescent="0.25">
      <c r="J219" t="str">
        <f t="shared" ca="1" si="7"/>
        <v/>
      </c>
    </row>
    <row r="220" spans="10:10" x14ac:dyDescent="0.25">
      <c r="J220" t="str">
        <f t="shared" ca="1" si="7"/>
        <v/>
      </c>
    </row>
    <row r="221" spans="10:10" x14ac:dyDescent="0.25">
      <c r="J221" t="str">
        <f t="shared" ca="1" si="7"/>
        <v/>
      </c>
    </row>
    <row r="222" spans="10:10" x14ac:dyDescent="0.25">
      <c r="J222" t="str">
        <f t="shared" ca="1" si="7"/>
        <v/>
      </c>
    </row>
    <row r="223" spans="10:10" x14ac:dyDescent="0.25">
      <c r="J223" t="str">
        <f t="shared" ca="1" si="7"/>
        <v/>
      </c>
    </row>
    <row r="224" spans="10:10" x14ac:dyDescent="0.25">
      <c r="J224" t="str">
        <f t="shared" ca="1" si="7"/>
        <v/>
      </c>
    </row>
    <row r="225" spans="10:10" x14ac:dyDescent="0.25">
      <c r="J225" t="str">
        <f t="shared" ca="1" si="7"/>
        <v/>
      </c>
    </row>
    <row r="226" spans="10:10" x14ac:dyDescent="0.25">
      <c r="J226" t="str">
        <f t="shared" ca="1" si="7"/>
        <v/>
      </c>
    </row>
    <row r="227" spans="10:10" x14ac:dyDescent="0.25">
      <c r="J227" t="str">
        <f t="shared" ca="1" si="7"/>
        <v/>
      </c>
    </row>
    <row r="228" spans="10:10" x14ac:dyDescent="0.25">
      <c r="J228" t="str">
        <f t="shared" ca="1" si="7"/>
        <v/>
      </c>
    </row>
    <row r="229" spans="10:10" x14ac:dyDescent="0.25">
      <c r="J229" t="str">
        <f t="shared" ca="1" si="7"/>
        <v/>
      </c>
    </row>
    <row r="230" spans="10:10" x14ac:dyDescent="0.25">
      <c r="J230" t="str">
        <f t="shared" ca="1" si="7"/>
        <v/>
      </c>
    </row>
    <row r="231" spans="10:10" x14ac:dyDescent="0.25">
      <c r="J231" t="str">
        <f t="shared" ca="1" si="7"/>
        <v/>
      </c>
    </row>
    <row r="232" spans="10:10" x14ac:dyDescent="0.25">
      <c r="J232" t="str">
        <f t="shared" ca="1" si="7"/>
        <v/>
      </c>
    </row>
    <row r="233" spans="10:10" x14ac:dyDescent="0.25">
      <c r="J233" t="str">
        <f t="shared" ca="1" si="7"/>
        <v/>
      </c>
    </row>
    <row r="234" spans="10:10" x14ac:dyDescent="0.25">
      <c r="J234" t="str">
        <f t="shared" ca="1" si="7"/>
        <v/>
      </c>
    </row>
    <row r="235" spans="10:10" x14ac:dyDescent="0.25">
      <c r="J235" t="str">
        <f t="shared" ca="1" si="7"/>
        <v/>
      </c>
    </row>
    <row r="236" spans="10:10" x14ac:dyDescent="0.25">
      <c r="J236" t="str">
        <f t="shared" ca="1" si="7"/>
        <v/>
      </c>
    </row>
    <row r="237" spans="10:10" x14ac:dyDescent="0.25">
      <c r="J237" t="str">
        <f t="shared" ca="1" si="7"/>
        <v/>
      </c>
    </row>
    <row r="238" spans="10:10" x14ac:dyDescent="0.25">
      <c r="J238" t="str">
        <f t="shared" ca="1" si="7"/>
        <v/>
      </c>
    </row>
    <row r="239" spans="10:10" x14ac:dyDescent="0.25">
      <c r="J239" t="str">
        <f t="shared" ca="1" si="7"/>
        <v/>
      </c>
    </row>
    <row r="240" spans="10:10" x14ac:dyDescent="0.25">
      <c r="J240" t="str">
        <f t="shared" ca="1" si="7"/>
        <v/>
      </c>
    </row>
    <row r="241" spans="10:10" x14ac:dyDescent="0.25">
      <c r="J241" t="str">
        <f t="shared" ca="1" si="7"/>
        <v/>
      </c>
    </row>
    <row r="242" spans="10:10" x14ac:dyDescent="0.25">
      <c r="J242" t="str">
        <f t="shared" ca="1" si="7"/>
        <v/>
      </c>
    </row>
    <row r="243" spans="10:10" x14ac:dyDescent="0.25">
      <c r="J243" t="str">
        <f t="shared" ca="1" si="7"/>
        <v/>
      </c>
    </row>
    <row r="244" spans="10:10" x14ac:dyDescent="0.25">
      <c r="J244" t="str">
        <f t="shared" ca="1" si="7"/>
        <v/>
      </c>
    </row>
    <row r="245" spans="10:10" x14ac:dyDescent="0.25">
      <c r="J245" t="str">
        <f t="shared" ca="1" si="7"/>
        <v/>
      </c>
    </row>
    <row r="246" spans="10:10" x14ac:dyDescent="0.25">
      <c r="J246" t="str">
        <f t="shared" ca="1" si="7"/>
        <v/>
      </c>
    </row>
    <row r="247" spans="10:10" x14ac:dyDescent="0.25">
      <c r="J247" t="str">
        <f t="shared" ca="1" si="7"/>
        <v/>
      </c>
    </row>
    <row r="248" spans="10:10" x14ac:dyDescent="0.25">
      <c r="J248" t="str">
        <f t="shared" ca="1" si="7"/>
        <v/>
      </c>
    </row>
    <row r="249" spans="10:10" x14ac:dyDescent="0.25">
      <c r="J249" t="str">
        <f t="shared" ca="1" si="7"/>
        <v/>
      </c>
    </row>
    <row r="250" spans="10:10" x14ac:dyDescent="0.25">
      <c r="J250" t="str">
        <f t="shared" ca="1" si="7"/>
        <v/>
      </c>
    </row>
    <row r="251" spans="10:10" x14ac:dyDescent="0.25">
      <c r="J251" t="str">
        <f t="shared" ca="1" si="7"/>
        <v/>
      </c>
    </row>
    <row r="252" spans="10:10" x14ac:dyDescent="0.25">
      <c r="J252" t="str">
        <f t="shared" ca="1" si="7"/>
        <v/>
      </c>
    </row>
    <row r="253" spans="10:10" x14ac:dyDescent="0.25">
      <c r="J253" t="str">
        <f t="shared" ca="1" si="7"/>
        <v/>
      </c>
    </row>
    <row r="254" spans="10:10" x14ac:dyDescent="0.25">
      <c r="J254" t="str">
        <f t="shared" ca="1" si="7"/>
        <v/>
      </c>
    </row>
    <row r="255" spans="10:10" x14ac:dyDescent="0.25">
      <c r="J255" t="str">
        <f t="shared" ca="1" si="7"/>
        <v/>
      </c>
    </row>
    <row r="256" spans="10:10" x14ac:dyDescent="0.25">
      <c r="J256" t="str">
        <f t="shared" ca="1" si="7"/>
        <v/>
      </c>
    </row>
    <row r="257" spans="10:10" x14ac:dyDescent="0.25">
      <c r="J257" t="str">
        <f t="shared" ca="1" si="7"/>
        <v/>
      </c>
    </row>
    <row r="258" spans="10:10" x14ac:dyDescent="0.25">
      <c r="J258" t="str">
        <f t="shared" ca="1" si="7"/>
        <v/>
      </c>
    </row>
    <row r="259" spans="10:10" x14ac:dyDescent="0.25">
      <c r="J259" t="str">
        <f t="shared" ca="1" si="7"/>
        <v/>
      </c>
    </row>
    <row r="260" spans="10:10" x14ac:dyDescent="0.25">
      <c r="J260" t="str">
        <f t="shared" ca="1" si="7"/>
        <v/>
      </c>
    </row>
    <row r="261" spans="10:10" x14ac:dyDescent="0.25">
      <c r="J261" t="str">
        <f t="shared" ca="1" si="7"/>
        <v/>
      </c>
    </row>
    <row r="262" spans="10:10" x14ac:dyDescent="0.25">
      <c r="J262" t="str">
        <f t="shared" ca="1" si="7"/>
        <v/>
      </c>
    </row>
    <row r="263" spans="10:10" x14ac:dyDescent="0.25">
      <c r="J263" t="str">
        <f t="shared" ca="1" si="7"/>
        <v/>
      </c>
    </row>
    <row r="264" spans="10:10" x14ac:dyDescent="0.25">
      <c r="J264" t="str">
        <f t="shared" ca="1" si="7"/>
        <v/>
      </c>
    </row>
    <row r="265" spans="10:10" x14ac:dyDescent="0.25">
      <c r="J265" t="str">
        <f t="shared" ca="1" si="7"/>
        <v/>
      </c>
    </row>
    <row r="266" spans="10:10" x14ac:dyDescent="0.25">
      <c r="J266" t="str">
        <f t="shared" ca="1" si="7"/>
        <v/>
      </c>
    </row>
    <row r="267" spans="10:10" x14ac:dyDescent="0.25">
      <c r="J267" t="str">
        <f t="shared" ref="J267:J330" ca="1" si="8">IF(A267="","",IF(I267="—",TODAY()-H267,I267-H267))</f>
        <v/>
      </c>
    </row>
    <row r="268" spans="10:10" x14ac:dyDescent="0.25">
      <c r="J268" t="str">
        <f t="shared" ca="1" si="8"/>
        <v/>
      </c>
    </row>
    <row r="269" spans="10:10" x14ac:dyDescent="0.25">
      <c r="J269" t="str">
        <f t="shared" ca="1" si="8"/>
        <v/>
      </c>
    </row>
    <row r="270" spans="10:10" x14ac:dyDescent="0.25">
      <c r="J270" t="str">
        <f t="shared" ca="1" si="8"/>
        <v/>
      </c>
    </row>
    <row r="271" spans="10:10" x14ac:dyDescent="0.25">
      <c r="J271" t="str">
        <f t="shared" ca="1" si="8"/>
        <v/>
      </c>
    </row>
    <row r="272" spans="10:10" x14ac:dyDescent="0.25">
      <c r="J272" t="str">
        <f t="shared" ca="1" si="8"/>
        <v/>
      </c>
    </row>
    <row r="273" spans="10:10" x14ac:dyDescent="0.25">
      <c r="J273" t="str">
        <f t="shared" ca="1" si="8"/>
        <v/>
      </c>
    </row>
    <row r="274" spans="10:10" x14ac:dyDescent="0.25">
      <c r="J274" t="str">
        <f t="shared" ca="1" si="8"/>
        <v/>
      </c>
    </row>
    <row r="275" spans="10:10" x14ac:dyDescent="0.25">
      <c r="J275" t="str">
        <f t="shared" ca="1" si="8"/>
        <v/>
      </c>
    </row>
    <row r="276" spans="10:10" x14ac:dyDescent="0.25">
      <c r="J276" t="str">
        <f t="shared" ca="1" si="8"/>
        <v/>
      </c>
    </row>
    <row r="277" spans="10:10" x14ac:dyDescent="0.25">
      <c r="J277" t="str">
        <f t="shared" ca="1" si="8"/>
        <v/>
      </c>
    </row>
    <row r="278" spans="10:10" x14ac:dyDescent="0.25">
      <c r="J278" t="str">
        <f t="shared" ca="1" si="8"/>
        <v/>
      </c>
    </row>
    <row r="279" spans="10:10" x14ac:dyDescent="0.25">
      <c r="J279" t="str">
        <f t="shared" ca="1" si="8"/>
        <v/>
      </c>
    </row>
    <row r="280" spans="10:10" x14ac:dyDescent="0.25">
      <c r="J280" t="str">
        <f t="shared" ca="1" si="8"/>
        <v/>
      </c>
    </row>
    <row r="281" spans="10:10" x14ac:dyDescent="0.25">
      <c r="J281" t="str">
        <f t="shared" ca="1" si="8"/>
        <v/>
      </c>
    </row>
    <row r="282" spans="10:10" x14ac:dyDescent="0.25">
      <c r="J282" t="str">
        <f t="shared" ca="1" si="8"/>
        <v/>
      </c>
    </row>
    <row r="283" spans="10:10" x14ac:dyDescent="0.25">
      <c r="J283" t="str">
        <f t="shared" ca="1" si="8"/>
        <v/>
      </c>
    </row>
    <row r="284" spans="10:10" x14ac:dyDescent="0.25">
      <c r="J284" t="str">
        <f t="shared" ca="1" si="8"/>
        <v/>
      </c>
    </row>
    <row r="285" spans="10:10" x14ac:dyDescent="0.25">
      <c r="J285" t="str">
        <f t="shared" ca="1" si="8"/>
        <v/>
      </c>
    </row>
    <row r="286" spans="10:10" x14ac:dyDescent="0.25">
      <c r="J286" t="str">
        <f t="shared" ca="1" si="8"/>
        <v/>
      </c>
    </row>
    <row r="287" spans="10:10" x14ac:dyDescent="0.25">
      <c r="J287" t="str">
        <f t="shared" ca="1" si="8"/>
        <v/>
      </c>
    </row>
    <row r="288" spans="10:10" x14ac:dyDescent="0.25">
      <c r="J288" t="str">
        <f t="shared" ca="1" si="8"/>
        <v/>
      </c>
    </row>
    <row r="289" spans="10:10" x14ac:dyDescent="0.25">
      <c r="J289" t="str">
        <f t="shared" ca="1" si="8"/>
        <v/>
      </c>
    </row>
    <row r="290" spans="10:10" x14ac:dyDescent="0.25">
      <c r="J290" t="str">
        <f t="shared" ca="1" si="8"/>
        <v/>
      </c>
    </row>
    <row r="291" spans="10:10" x14ac:dyDescent="0.25">
      <c r="J291" t="str">
        <f t="shared" ca="1" si="8"/>
        <v/>
      </c>
    </row>
    <row r="292" spans="10:10" x14ac:dyDescent="0.25">
      <c r="J292" t="str">
        <f t="shared" ca="1" si="8"/>
        <v/>
      </c>
    </row>
    <row r="293" spans="10:10" x14ac:dyDescent="0.25">
      <c r="J293" t="str">
        <f t="shared" ca="1" si="8"/>
        <v/>
      </c>
    </row>
    <row r="294" spans="10:10" x14ac:dyDescent="0.25">
      <c r="J294" t="str">
        <f t="shared" ca="1" si="8"/>
        <v/>
      </c>
    </row>
    <row r="295" spans="10:10" x14ac:dyDescent="0.25">
      <c r="J295" t="str">
        <f t="shared" ca="1" si="8"/>
        <v/>
      </c>
    </row>
    <row r="296" spans="10:10" x14ac:dyDescent="0.25">
      <c r="J296" t="str">
        <f t="shared" ca="1" si="8"/>
        <v/>
      </c>
    </row>
    <row r="297" spans="10:10" x14ac:dyDescent="0.25">
      <c r="J297" t="str">
        <f t="shared" ca="1" si="8"/>
        <v/>
      </c>
    </row>
    <row r="298" spans="10:10" x14ac:dyDescent="0.25">
      <c r="J298" t="str">
        <f t="shared" ca="1" si="8"/>
        <v/>
      </c>
    </row>
    <row r="299" spans="10:10" x14ac:dyDescent="0.25">
      <c r="J299" t="str">
        <f t="shared" ca="1" si="8"/>
        <v/>
      </c>
    </row>
    <row r="300" spans="10:10" x14ac:dyDescent="0.25">
      <c r="J300" t="str">
        <f t="shared" ca="1" si="8"/>
        <v/>
      </c>
    </row>
    <row r="301" spans="10:10" x14ac:dyDescent="0.25">
      <c r="J301" t="str">
        <f t="shared" ca="1" si="8"/>
        <v/>
      </c>
    </row>
    <row r="302" spans="10:10" x14ac:dyDescent="0.25">
      <c r="J302" t="str">
        <f t="shared" ca="1" si="8"/>
        <v/>
      </c>
    </row>
    <row r="303" spans="10:10" x14ac:dyDescent="0.25">
      <c r="J303" t="str">
        <f t="shared" ca="1" si="8"/>
        <v/>
      </c>
    </row>
    <row r="304" spans="10:10" x14ac:dyDescent="0.25">
      <c r="J304" t="str">
        <f t="shared" ca="1" si="8"/>
        <v/>
      </c>
    </row>
    <row r="305" spans="10:10" x14ac:dyDescent="0.25">
      <c r="J305" t="str">
        <f t="shared" ca="1" si="8"/>
        <v/>
      </c>
    </row>
    <row r="306" spans="10:10" x14ac:dyDescent="0.25">
      <c r="J306" t="str">
        <f t="shared" ca="1" si="8"/>
        <v/>
      </c>
    </row>
    <row r="307" spans="10:10" x14ac:dyDescent="0.25">
      <c r="J307" t="str">
        <f t="shared" ca="1" si="8"/>
        <v/>
      </c>
    </row>
    <row r="308" spans="10:10" x14ac:dyDescent="0.25">
      <c r="J308" t="str">
        <f t="shared" ca="1" si="8"/>
        <v/>
      </c>
    </row>
    <row r="309" spans="10:10" x14ac:dyDescent="0.25">
      <c r="J309" t="str">
        <f t="shared" ca="1" si="8"/>
        <v/>
      </c>
    </row>
    <row r="310" spans="10:10" x14ac:dyDescent="0.25">
      <c r="J310" t="str">
        <f t="shared" ca="1" si="8"/>
        <v/>
      </c>
    </row>
    <row r="311" spans="10:10" x14ac:dyDescent="0.25">
      <c r="J311" t="str">
        <f t="shared" ca="1" si="8"/>
        <v/>
      </c>
    </row>
    <row r="312" spans="10:10" x14ac:dyDescent="0.25">
      <c r="J312" t="str">
        <f t="shared" ca="1" si="8"/>
        <v/>
      </c>
    </row>
    <row r="313" spans="10:10" x14ac:dyDescent="0.25">
      <c r="J313" t="str">
        <f t="shared" ca="1" si="8"/>
        <v/>
      </c>
    </row>
    <row r="314" spans="10:10" x14ac:dyDescent="0.25">
      <c r="J314" t="str">
        <f t="shared" ca="1" si="8"/>
        <v/>
      </c>
    </row>
    <row r="315" spans="10:10" x14ac:dyDescent="0.25">
      <c r="J315" t="str">
        <f t="shared" ca="1" si="8"/>
        <v/>
      </c>
    </row>
    <row r="316" spans="10:10" x14ac:dyDescent="0.25">
      <c r="J316" t="str">
        <f t="shared" ca="1" si="8"/>
        <v/>
      </c>
    </row>
    <row r="317" spans="10:10" x14ac:dyDescent="0.25">
      <c r="J317" t="str">
        <f t="shared" ca="1" si="8"/>
        <v/>
      </c>
    </row>
    <row r="318" spans="10:10" x14ac:dyDescent="0.25">
      <c r="J318" t="str">
        <f t="shared" ca="1" si="8"/>
        <v/>
      </c>
    </row>
    <row r="319" spans="10:10" x14ac:dyDescent="0.25">
      <c r="J319" t="str">
        <f t="shared" ca="1" si="8"/>
        <v/>
      </c>
    </row>
    <row r="320" spans="10:10" x14ac:dyDescent="0.25">
      <c r="J320" t="str">
        <f t="shared" ca="1" si="8"/>
        <v/>
      </c>
    </row>
    <row r="321" spans="10:10" x14ac:dyDescent="0.25">
      <c r="J321" t="str">
        <f t="shared" ca="1" si="8"/>
        <v/>
      </c>
    </row>
    <row r="322" spans="10:10" x14ac:dyDescent="0.25">
      <c r="J322" t="str">
        <f t="shared" ca="1" si="8"/>
        <v/>
      </c>
    </row>
    <row r="323" spans="10:10" x14ac:dyDescent="0.25">
      <c r="J323" t="str">
        <f t="shared" ca="1" si="8"/>
        <v/>
      </c>
    </row>
    <row r="324" spans="10:10" x14ac:dyDescent="0.25">
      <c r="J324" t="str">
        <f t="shared" ca="1" si="8"/>
        <v/>
      </c>
    </row>
    <row r="325" spans="10:10" x14ac:dyDescent="0.25">
      <c r="J325" t="str">
        <f t="shared" ca="1" si="8"/>
        <v/>
      </c>
    </row>
    <row r="326" spans="10:10" x14ac:dyDescent="0.25">
      <c r="J326" t="str">
        <f t="shared" ca="1" si="8"/>
        <v/>
      </c>
    </row>
    <row r="327" spans="10:10" x14ac:dyDescent="0.25">
      <c r="J327" t="str">
        <f t="shared" ca="1" si="8"/>
        <v/>
      </c>
    </row>
    <row r="328" spans="10:10" x14ac:dyDescent="0.25">
      <c r="J328" t="str">
        <f t="shared" ca="1" si="8"/>
        <v/>
      </c>
    </row>
    <row r="329" spans="10:10" x14ac:dyDescent="0.25">
      <c r="J329" t="str">
        <f t="shared" ca="1" si="8"/>
        <v/>
      </c>
    </row>
    <row r="330" spans="10:10" x14ac:dyDescent="0.25">
      <c r="J330" t="str">
        <f t="shared" ca="1" si="8"/>
        <v/>
      </c>
    </row>
    <row r="331" spans="10:10" x14ac:dyDescent="0.25">
      <c r="J331" t="str">
        <f t="shared" ref="J331:J394" ca="1" si="9">IF(A331="","",IF(I331="—",TODAY()-H331,I331-H331))</f>
        <v/>
      </c>
    </row>
    <row r="332" spans="10:10" x14ac:dyDescent="0.25">
      <c r="J332" t="str">
        <f t="shared" ca="1" si="9"/>
        <v/>
      </c>
    </row>
    <row r="333" spans="10:10" x14ac:dyDescent="0.25">
      <c r="J333" t="str">
        <f t="shared" ca="1" si="9"/>
        <v/>
      </c>
    </row>
    <row r="334" spans="10:10" x14ac:dyDescent="0.25">
      <c r="J334" t="str">
        <f t="shared" ca="1" si="9"/>
        <v/>
      </c>
    </row>
    <row r="335" spans="10:10" x14ac:dyDescent="0.25">
      <c r="J335" t="str">
        <f t="shared" ca="1" si="9"/>
        <v/>
      </c>
    </row>
    <row r="336" spans="10:10" x14ac:dyDescent="0.25">
      <c r="J336" t="str">
        <f t="shared" ca="1" si="9"/>
        <v/>
      </c>
    </row>
    <row r="337" spans="10:10" x14ac:dyDescent="0.25">
      <c r="J337" t="str">
        <f t="shared" ca="1" si="9"/>
        <v/>
      </c>
    </row>
    <row r="338" spans="10:10" x14ac:dyDescent="0.25">
      <c r="J338" t="str">
        <f t="shared" ca="1" si="9"/>
        <v/>
      </c>
    </row>
    <row r="339" spans="10:10" x14ac:dyDescent="0.25">
      <c r="J339" t="str">
        <f t="shared" ca="1" si="9"/>
        <v/>
      </c>
    </row>
    <row r="340" spans="10:10" x14ac:dyDescent="0.25">
      <c r="J340" t="str">
        <f t="shared" ca="1" si="9"/>
        <v/>
      </c>
    </row>
    <row r="341" spans="10:10" x14ac:dyDescent="0.25">
      <c r="J341" t="str">
        <f t="shared" ca="1" si="9"/>
        <v/>
      </c>
    </row>
    <row r="342" spans="10:10" x14ac:dyDescent="0.25">
      <c r="J342" t="str">
        <f t="shared" ca="1" si="9"/>
        <v/>
      </c>
    </row>
    <row r="343" spans="10:10" x14ac:dyDescent="0.25">
      <c r="J343" t="str">
        <f t="shared" ca="1" si="9"/>
        <v/>
      </c>
    </row>
    <row r="344" spans="10:10" x14ac:dyDescent="0.25">
      <c r="J344" t="str">
        <f t="shared" ca="1" si="9"/>
        <v/>
      </c>
    </row>
    <row r="345" spans="10:10" x14ac:dyDescent="0.25">
      <c r="J345" t="str">
        <f t="shared" ca="1" si="9"/>
        <v/>
      </c>
    </row>
    <row r="346" spans="10:10" x14ac:dyDescent="0.25">
      <c r="J346" t="str">
        <f t="shared" ca="1" si="9"/>
        <v/>
      </c>
    </row>
    <row r="347" spans="10:10" x14ac:dyDescent="0.25">
      <c r="J347" t="str">
        <f t="shared" ca="1" si="9"/>
        <v/>
      </c>
    </row>
    <row r="348" spans="10:10" x14ac:dyDescent="0.25">
      <c r="J348" t="str">
        <f t="shared" ca="1" si="9"/>
        <v/>
      </c>
    </row>
    <row r="349" spans="10:10" x14ac:dyDescent="0.25">
      <c r="J349" t="str">
        <f t="shared" ca="1" si="9"/>
        <v/>
      </c>
    </row>
    <row r="350" spans="10:10" x14ac:dyDescent="0.25">
      <c r="J350" t="str">
        <f t="shared" ca="1" si="9"/>
        <v/>
      </c>
    </row>
    <row r="351" spans="10:10" x14ac:dyDescent="0.25">
      <c r="J351" t="str">
        <f t="shared" ca="1" si="9"/>
        <v/>
      </c>
    </row>
    <row r="352" spans="10:10" x14ac:dyDescent="0.25">
      <c r="J352" t="str">
        <f t="shared" ca="1" si="9"/>
        <v/>
      </c>
    </row>
    <row r="353" spans="10:10" x14ac:dyDescent="0.25">
      <c r="J353" t="str">
        <f t="shared" ca="1" si="9"/>
        <v/>
      </c>
    </row>
    <row r="354" spans="10:10" x14ac:dyDescent="0.25">
      <c r="J354" t="str">
        <f t="shared" ca="1" si="9"/>
        <v/>
      </c>
    </row>
    <row r="355" spans="10:10" x14ac:dyDescent="0.25">
      <c r="J355" t="str">
        <f t="shared" ca="1" si="9"/>
        <v/>
      </c>
    </row>
    <row r="356" spans="10:10" x14ac:dyDescent="0.25">
      <c r="J356" t="str">
        <f t="shared" ca="1" si="9"/>
        <v/>
      </c>
    </row>
    <row r="357" spans="10:10" x14ac:dyDescent="0.25">
      <c r="J357" t="str">
        <f t="shared" ca="1" si="9"/>
        <v/>
      </c>
    </row>
    <row r="358" spans="10:10" x14ac:dyDescent="0.25">
      <c r="J358" t="str">
        <f t="shared" ca="1" si="9"/>
        <v/>
      </c>
    </row>
    <row r="359" spans="10:10" x14ac:dyDescent="0.25">
      <c r="J359" t="str">
        <f t="shared" ca="1" si="9"/>
        <v/>
      </c>
    </row>
    <row r="360" spans="10:10" x14ac:dyDescent="0.25">
      <c r="J360" t="str">
        <f t="shared" ca="1" si="9"/>
        <v/>
      </c>
    </row>
    <row r="361" spans="10:10" x14ac:dyDescent="0.25">
      <c r="J361" t="str">
        <f t="shared" ca="1" si="9"/>
        <v/>
      </c>
    </row>
    <row r="362" spans="10:10" x14ac:dyDescent="0.25">
      <c r="J362" t="str">
        <f t="shared" ca="1" si="9"/>
        <v/>
      </c>
    </row>
    <row r="363" spans="10:10" x14ac:dyDescent="0.25">
      <c r="J363" t="str">
        <f t="shared" ca="1" si="9"/>
        <v/>
      </c>
    </row>
    <row r="364" spans="10:10" x14ac:dyDescent="0.25">
      <c r="J364" t="str">
        <f t="shared" ca="1" si="9"/>
        <v/>
      </c>
    </row>
    <row r="365" spans="10:10" x14ac:dyDescent="0.25">
      <c r="J365" t="str">
        <f t="shared" ca="1" si="9"/>
        <v/>
      </c>
    </row>
    <row r="366" spans="10:10" x14ac:dyDescent="0.25">
      <c r="J366" t="str">
        <f t="shared" ca="1" si="9"/>
        <v/>
      </c>
    </row>
    <row r="367" spans="10:10" x14ac:dyDescent="0.25">
      <c r="J367" t="str">
        <f t="shared" ca="1" si="9"/>
        <v/>
      </c>
    </row>
    <row r="368" spans="10:10" x14ac:dyDescent="0.25">
      <c r="J368" t="str">
        <f t="shared" ca="1" si="9"/>
        <v/>
      </c>
    </row>
    <row r="369" spans="10:10" x14ac:dyDescent="0.25">
      <c r="J369" t="str">
        <f t="shared" ca="1" si="9"/>
        <v/>
      </c>
    </row>
    <row r="370" spans="10:10" x14ac:dyDescent="0.25">
      <c r="J370" t="str">
        <f t="shared" ca="1" si="9"/>
        <v/>
      </c>
    </row>
    <row r="371" spans="10:10" x14ac:dyDescent="0.25">
      <c r="J371" t="str">
        <f t="shared" ca="1" si="9"/>
        <v/>
      </c>
    </row>
    <row r="372" spans="10:10" x14ac:dyDescent="0.25">
      <c r="J372" t="str">
        <f t="shared" ca="1" si="9"/>
        <v/>
      </c>
    </row>
    <row r="373" spans="10:10" x14ac:dyDescent="0.25">
      <c r="J373" t="str">
        <f t="shared" ca="1" si="9"/>
        <v/>
      </c>
    </row>
    <row r="374" spans="10:10" x14ac:dyDescent="0.25">
      <c r="J374" t="str">
        <f t="shared" ca="1" si="9"/>
        <v/>
      </c>
    </row>
    <row r="375" spans="10:10" x14ac:dyDescent="0.25">
      <c r="J375" t="str">
        <f t="shared" ca="1" si="9"/>
        <v/>
      </c>
    </row>
    <row r="376" spans="10:10" x14ac:dyDescent="0.25">
      <c r="J376" t="str">
        <f t="shared" ca="1" si="9"/>
        <v/>
      </c>
    </row>
    <row r="377" spans="10:10" x14ac:dyDescent="0.25">
      <c r="J377" t="str">
        <f t="shared" ca="1" si="9"/>
        <v/>
      </c>
    </row>
    <row r="378" spans="10:10" x14ac:dyDescent="0.25">
      <c r="J378" t="str">
        <f t="shared" ca="1" si="9"/>
        <v/>
      </c>
    </row>
    <row r="379" spans="10:10" x14ac:dyDescent="0.25">
      <c r="J379" t="str">
        <f t="shared" ca="1" si="9"/>
        <v/>
      </c>
    </row>
    <row r="380" spans="10:10" x14ac:dyDescent="0.25">
      <c r="J380" t="str">
        <f t="shared" ca="1" si="9"/>
        <v/>
      </c>
    </row>
    <row r="381" spans="10:10" x14ac:dyDescent="0.25">
      <c r="J381" t="str">
        <f t="shared" ca="1" si="9"/>
        <v/>
      </c>
    </row>
    <row r="382" spans="10:10" x14ac:dyDescent="0.25">
      <c r="J382" t="str">
        <f t="shared" ca="1" si="9"/>
        <v/>
      </c>
    </row>
    <row r="383" spans="10:10" x14ac:dyDescent="0.25">
      <c r="J383" t="str">
        <f t="shared" ca="1" si="9"/>
        <v/>
      </c>
    </row>
    <row r="384" spans="10:10" x14ac:dyDescent="0.25">
      <c r="J384" t="str">
        <f t="shared" ca="1" si="9"/>
        <v/>
      </c>
    </row>
    <row r="385" spans="10:10" x14ac:dyDescent="0.25">
      <c r="J385" t="str">
        <f t="shared" ca="1" si="9"/>
        <v/>
      </c>
    </row>
    <row r="386" spans="10:10" x14ac:dyDescent="0.25">
      <c r="J386" t="str">
        <f t="shared" ca="1" si="9"/>
        <v/>
      </c>
    </row>
    <row r="387" spans="10:10" x14ac:dyDescent="0.25">
      <c r="J387" t="str">
        <f t="shared" ca="1" si="9"/>
        <v/>
      </c>
    </row>
    <row r="388" spans="10:10" x14ac:dyDescent="0.25">
      <c r="J388" t="str">
        <f t="shared" ca="1" si="9"/>
        <v/>
      </c>
    </row>
    <row r="389" spans="10:10" x14ac:dyDescent="0.25">
      <c r="J389" t="str">
        <f t="shared" ca="1" si="9"/>
        <v/>
      </c>
    </row>
    <row r="390" spans="10:10" x14ac:dyDescent="0.25">
      <c r="J390" t="str">
        <f t="shared" ca="1" si="9"/>
        <v/>
      </c>
    </row>
    <row r="391" spans="10:10" x14ac:dyDescent="0.25">
      <c r="J391" t="str">
        <f t="shared" ca="1" si="9"/>
        <v/>
      </c>
    </row>
    <row r="392" spans="10:10" x14ac:dyDescent="0.25">
      <c r="J392" t="str">
        <f t="shared" ca="1" si="9"/>
        <v/>
      </c>
    </row>
    <row r="393" spans="10:10" x14ac:dyDescent="0.25">
      <c r="J393" t="str">
        <f t="shared" ca="1" si="9"/>
        <v/>
      </c>
    </row>
    <row r="394" spans="10:10" x14ac:dyDescent="0.25">
      <c r="J394" t="str">
        <f t="shared" ca="1" si="9"/>
        <v/>
      </c>
    </row>
    <row r="395" spans="10:10" x14ac:dyDescent="0.25">
      <c r="J395" t="str">
        <f t="shared" ref="J395:J458" ca="1" si="10">IF(A395="","",IF(I395="—",TODAY()-H395,I395-H395))</f>
        <v/>
      </c>
    </row>
    <row r="396" spans="10:10" x14ac:dyDescent="0.25">
      <c r="J396" t="str">
        <f t="shared" ca="1" si="10"/>
        <v/>
      </c>
    </row>
    <row r="397" spans="10:10" x14ac:dyDescent="0.25">
      <c r="J397" t="str">
        <f t="shared" ca="1" si="10"/>
        <v/>
      </c>
    </row>
    <row r="398" spans="10:10" x14ac:dyDescent="0.25">
      <c r="J398" t="str">
        <f t="shared" ca="1" si="10"/>
        <v/>
      </c>
    </row>
    <row r="399" spans="10:10" x14ac:dyDescent="0.25">
      <c r="J399" t="str">
        <f t="shared" ca="1" si="10"/>
        <v/>
      </c>
    </row>
    <row r="400" spans="10:10" x14ac:dyDescent="0.25">
      <c r="J400" t="str">
        <f t="shared" ca="1" si="10"/>
        <v/>
      </c>
    </row>
    <row r="401" spans="10:10" x14ac:dyDescent="0.25">
      <c r="J401" t="str">
        <f t="shared" ca="1" si="10"/>
        <v/>
      </c>
    </row>
    <row r="402" spans="10:10" x14ac:dyDescent="0.25">
      <c r="J402" t="str">
        <f t="shared" ca="1" si="10"/>
        <v/>
      </c>
    </row>
    <row r="403" spans="10:10" x14ac:dyDescent="0.25">
      <c r="J403" t="str">
        <f t="shared" ca="1" si="10"/>
        <v/>
      </c>
    </row>
    <row r="404" spans="10:10" x14ac:dyDescent="0.25">
      <c r="J404" t="str">
        <f t="shared" ca="1" si="10"/>
        <v/>
      </c>
    </row>
    <row r="405" spans="10:10" x14ac:dyDescent="0.25">
      <c r="J405" t="str">
        <f t="shared" ca="1" si="10"/>
        <v/>
      </c>
    </row>
    <row r="406" spans="10:10" x14ac:dyDescent="0.25">
      <c r="J406" t="str">
        <f t="shared" ca="1" si="10"/>
        <v/>
      </c>
    </row>
    <row r="407" spans="10:10" x14ac:dyDescent="0.25">
      <c r="J407" t="str">
        <f t="shared" ca="1" si="10"/>
        <v/>
      </c>
    </row>
    <row r="408" spans="10:10" x14ac:dyDescent="0.25">
      <c r="J408" t="str">
        <f t="shared" ca="1" si="10"/>
        <v/>
      </c>
    </row>
    <row r="409" spans="10:10" x14ac:dyDescent="0.25">
      <c r="J409" t="str">
        <f t="shared" ca="1" si="10"/>
        <v/>
      </c>
    </row>
    <row r="410" spans="10:10" x14ac:dyDescent="0.25">
      <c r="J410" t="str">
        <f t="shared" ca="1" si="10"/>
        <v/>
      </c>
    </row>
    <row r="411" spans="10:10" x14ac:dyDescent="0.25">
      <c r="J411" t="str">
        <f t="shared" ca="1" si="10"/>
        <v/>
      </c>
    </row>
    <row r="412" spans="10:10" x14ac:dyDescent="0.25">
      <c r="J412" t="str">
        <f t="shared" ca="1" si="10"/>
        <v/>
      </c>
    </row>
    <row r="413" spans="10:10" x14ac:dyDescent="0.25">
      <c r="J413" t="str">
        <f t="shared" ca="1" si="10"/>
        <v/>
      </c>
    </row>
    <row r="414" spans="10:10" x14ac:dyDescent="0.25">
      <c r="J414" t="str">
        <f t="shared" ca="1" si="10"/>
        <v/>
      </c>
    </row>
    <row r="415" spans="10:10" x14ac:dyDescent="0.25">
      <c r="J415" t="str">
        <f t="shared" ca="1" si="10"/>
        <v/>
      </c>
    </row>
    <row r="416" spans="10:10" x14ac:dyDescent="0.25">
      <c r="J416" t="str">
        <f t="shared" ca="1" si="10"/>
        <v/>
      </c>
    </row>
    <row r="417" spans="10:10" x14ac:dyDescent="0.25">
      <c r="J417" t="str">
        <f t="shared" ca="1" si="10"/>
        <v/>
      </c>
    </row>
    <row r="418" spans="10:10" x14ac:dyDescent="0.25">
      <c r="J418" t="str">
        <f t="shared" ca="1" si="10"/>
        <v/>
      </c>
    </row>
    <row r="419" spans="10:10" x14ac:dyDescent="0.25">
      <c r="J419" t="str">
        <f t="shared" ca="1" si="10"/>
        <v/>
      </c>
    </row>
    <row r="420" spans="10:10" x14ac:dyDescent="0.25">
      <c r="J420" t="str">
        <f t="shared" ca="1" si="10"/>
        <v/>
      </c>
    </row>
    <row r="421" spans="10:10" x14ac:dyDescent="0.25">
      <c r="J421" t="str">
        <f t="shared" ca="1" si="10"/>
        <v/>
      </c>
    </row>
    <row r="422" spans="10:10" x14ac:dyDescent="0.25">
      <c r="J422" t="str">
        <f t="shared" ca="1" si="10"/>
        <v/>
      </c>
    </row>
    <row r="423" spans="10:10" x14ac:dyDescent="0.25">
      <c r="J423" t="str">
        <f t="shared" ca="1" si="10"/>
        <v/>
      </c>
    </row>
    <row r="424" spans="10:10" x14ac:dyDescent="0.25">
      <c r="J424" t="str">
        <f t="shared" ca="1" si="10"/>
        <v/>
      </c>
    </row>
    <row r="425" spans="10:10" x14ac:dyDescent="0.25">
      <c r="J425" t="str">
        <f t="shared" ca="1" si="10"/>
        <v/>
      </c>
    </row>
    <row r="426" spans="10:10" x14ac:dyDescent="0.25">
      <c r="J426" t="str">
        <f t="shared" ca="1" si="10"/>
        <v/>
      </c>
    </row>
    <row r="427" spans="10:10" x14ac:dyDescent="0.25">
      <c r="J427" t="str">
        <f t="shared" ca="1" si="10"/>
        <v/>
      </c>
    </row>
    <row r="428" spans="10:10" x14ac:dyDescent="0.25">
      <c r="J428" t="str">
        <f t="shared" ca="1" si="10"/>
        <v/>
      </c>
    </row>
    <row r="429" spans="10:10" x14ac:dyDescent="0.25">
      <c r="J429" t="str">
        <f t="shared" ca="1" si="10"/>
        <v/>
      </c>
    </row>
    <row r="430" spans="10:10" x14ac:dyDescent="0.25">
      <c r="J430" t="str">
        <f t="shared" ca="1" si="10"/>
        <v/>
      </c>
    </row>
    <row r="431" spans="10:10" x14ac:dyDescent="0.25">
      <c r="J431" t="str">
        <f t="shared" ca="1" si="10"/>
        <v/>
      </c>
    </row>
    <row r="432" spans="10:10" x14ac:dyDescent="0.25">
      <c r="J432" t="str">
        <f t="shared" ca="1" si="10"/>
        <v/>
      </c>
    </row>
    <row r="433" spans="10:10" x14ac:dyDescent="0.25">
      <c r="J433" t="str">
        <f t="shared" ca="1" si="10"/>
        <v/>
      </c>
    </row>
    <row r="434" spans="10:10" x14ac:dyDescent="0.25">
      <c r="J434" t="str">
        <f t="shared" ca="1" si="10"/>
        <v/>
      </c>
    </row>
    <row r="435" spans="10:10" x14ac:dyDescent="0.25">
      <c r="J435" t="str">
        <f t="shared" ca="1" si="10"/>
        <v/>
      </c>
    </row>
    <row r="436" spans="10:10" x14ac:dyDescent="0.25">
      <c r="J436" t="str">
        <f t="shared" ca="1" si="10"/>
        <v/>
      </c>
    </row>
    <row r="437" spans="10:10" x14ac:dyDescent="0.25">
      <c r="J437" t="str">
        <f t="shared" ca="1" si="10"/>
        <v/>
      </c>
    </row>
    <row r="438" spans="10:10" x14ac:dyDescent="0.25">
      <c r="J438" t="str">
        <f t="shared" ca="1" si="10"/>
        <v/>
      </c>
    </row>
    <row r="439" spans="10:10" x14ac:dyDescent="0.25">
      <c r="J439" t="str">
        <f t="shared" ca="1" si="10"/>
        <v/>
      </c>
    </row>
    <row r="440" spans="10:10" x14ac:dyDescent="0.25">
      <c r="J440" t="str">
        <f t="shared" ca="1" si="10"/>
        <v/>
      </c>
    </row>
    <row r="441" spans="10:10" x14ac:dyDescent="0.25">
      <c r="J441" t="str">
        <f t="shared" ca="1" si="10"/>
        <v/>
      </c>
    </row>
    <row r="442" spans="10:10" x14ac:dyDescent="0.25">
      <c r="J442" t="str">
        <f t="shared" ca="1" si="10"/>
        <v/>
      </c>
    </row>
    <row r="443" spans="10:10" x14ac:dyDescent="0.25">
      <c r="J443" t="str">
        <f t="shared" ca="1" si="10"/>
        <v/>
      </c>
    </row>
    <row r="444" spans="10:10" x14ac:dyDescent="0.25">
      <c r="J444" t="str">
        <f t="shared" ca="1" si="10"/>
        <v/>
      </c>
    </row>
    <row r="445" spans="10:10" x14ac:dyDescent="0.25">
      <c r="J445" t="str">
        <f t="shared" ca="1" si="10"/>
        <v/>
      </c>
    </row>
    <row r="446" spans="10:10" x14ac:dyDescent="0.25">
      <c r="J446" t="str">
        <f t="shared" ca="1" si="10"/>
        <v/>
      </c>
    </row>
    <row r="447" spans="10:10" x14ac:dyDescent="0.25">
      <c r="J447" t="str">
        <f t="shared" ca="1" si="10"/>
        <v/>
      </c>
    </row>
    <row r="448" spans="10:10" x14ac:dyDescent="0.25">
      <c r="J448" t="str">
        <f t="shared" ca="1" si="10"/>
        <v/>
      </c>
    </row>
    <row r="449" spans="10:10" x14ac:dyDescent="0.25">
      <c r="J449" t="str">
        <f t="shared" ca="1" si="10"/>
        <v/>
      </c>
    </row>
    <row r="450" spans="10:10" x14ac:dyDescent="0.25">
      <c r="J450" t="str">
        <f t="shared" ca="1" si="10"/>
        <v/>
      </c>
    </row>
    <row r="451" spans="10:10" x14ac:dyDescent="0.25">
      <c r="J451" t="str">
        <f t="shared" ca="1" si="10"/>
        <v/>
      </c>
    </row>
    <row r="452" spans="10:10" x14ac:dyDescent="0.25">
      <c r="J452" t="str">
        <f t="shared" ca="1" si="10"/>
        <v/>
      </c>
    </row>
    <row r="453" spans="10:10" x14ac:dyDescent="0.25">
      <c r="J453" t="str">
        <f t="shared" ca="1" si="10"/>
        <v/>
      </c>
    </row>
    <row r="454" spans="10:10" x14ac:dyDescent="0.25">
      <c r="J454" t="str">
        <f t="shared" ca="1" si="10"/>
        <v/>
      </c>
    </row>
    <row r="455" spans="10:10" x14ac:dyDescent="0.25">
      <c r="J455" t="str">
        <f t="shared" ca="1" si="10"/>
        <v/>
      </c>
    </row>
    <row r="456" spans="10:10" x14ac:dyDescent="0.25">
      <c r="J456" t="str">
        <f t="shared" ca="1" si="10"/>
        <v/>
      </c>
    </row>
    <row r="457" spans="10:10" x14ac:dyDescent="0.25">
      <c r="J457" t="str">
        <f t="shared" ca="1" si="10"/>
        <v/>
      </c>
    </row>
    <row r="458" spans="10:10" x14ac:dyDescent="0.25">
      <c r="J458" t="str">
        <f t="shared" ca="1" si="10"/>
        <v/>
      </c>
    </row>
    <row r="459" spans="10:10" x14ac:dyDescent="0.25">
      <c r="J459" t="str">
        <f t="shared" ref="J459:J522" ca="1" si="11">IF(A459="","",IF(I459="—",TODAY()-H459,I459-H459))</f>
        <v/>
      </c>
    </row>
    <row r="460" spans="10:10" x14ac:dyDescent="0.25">
      <c r="J460" t="str">
        <f t="shared" ca="1" si="11"/>
        <v/>
      </c>
    </row>
    <row r="461" spans="10:10" x14ac:dyDescent="0.25">
      <c r="J461" t="str">
        <f t="shared" ca="1" si="11"/>
        <v/>
      </c>
    </row>
    <row r="462" spans="10:10" x14ac:dyDescent="0.25">
      <c r="J462" t="str">
        <f t="shared" ca="1" si="11"/>
        <v/>
      </c>
    </row>
    <row r="463" spans="10:10" x14ac:dyDescent="0.25">
      <c r="J463" t="str">
        <f t="shared" ca="1" si="11"/>
        <v/>
      </c>
    </row>
    <row r="464" spans="10:10" x14ac:dyDescent="0.25">
      <c r="J464" t="str">
        <f t="shared" ca="1" si="11"/>
        <v/>
      </c>
    </row>
    <row r="465" spans="10:10" x14ac:dyDescent="0.25">
      <c r="J465" t="str">
        <f t="shared" ca="1" si="11"/>
        <v/>
      </c>
    </row>
    <row r="466" spans="10:10" x14ac:dyDescent="0.25">
      <c r="J466" t="str">
        <f t="shared" ca="1" si="11"/>
        <v/>
      </c>
    </row>
    <row r="467" spans="10:10" x14ac:dyDescent="0.25">
      <c r="J467" t="str">
        <f t="shared" ca="1" si="11"/>
        <v/>
      </c>
    </row>
    <row r="468" spans="10:10" x14ac:dyDescent="0.25">
      <c r="J468" t="str">
        <f t="shared" ca="1" si="11"/>
        <v/>
      </c>
    </row>
    <row r="469" spans="10:10" x14ac:dyDescent="0.25">
      <c r="J469" t="str">
        <f t="shared" ca="1" si="11"/>
        <v/>
      </c>
    </row>
    <row r="470" spans="10:10" x14ac:dyDescent="0.25">
      <c r="J470" t="str">
        <f t="shared" ca="1" si="11"/>
        <v/>
      </c>
    </row>
    <row r="471" spans="10:10" x14ac:dyDescent="0.25">
      <c r="J471" t="str">
        <f t="shared" ca="1" si="11"/>
        <v/>
      </c>
    </row>
    <row r="472" spans="10:10" x14ac:dyDescent="0.25">
      <c r="J472" t="str">
        <f t="shared" ca="1" si="11"/>
        <v/>
      </c>
    </row>
    <row r="473" spans="10:10" x14ac:dyDescent="0.25">
      <c r="J473" t="str">
        <f t="shared" ca="1" si="11"/>
        <v/>
      </c>
    </row>
    <row r="474" spans="10:10" x14ac:dyDescent="0.25">
      <c r="J474" t="str">
        <f t="shared" ca="1" si="11"/>
        <v/>
      </c>
    </row>
    <row r="475" spans="10:10" x14ac:dyDescent="0.25">
      <c r="J475" t="str">
        <f t="shared" ca="1" si="11"/>
        <v/>
      </c>
    </row>
    <row r="476" spans="10:10" x14ac:dyDescent="0.25">
      <c r="J476" t="str">
        <f t="shared" ca="1" si="11"/>
        <v/>
      </c>
    </row>
    <row r="477" spans="10:10" x14ac:dyDescent="0.25">
      <c r="J477" t="str">
        <f t="shared" ca="1" si="11"/>
        <v/>
      </c>
    </row>
    <row r="478" spans="10:10" x14ac:dyDescent="0.25">
      <c r="J478" t="str">
        <f t="shared" ca="1" si="11"/>
        <v/>
      </c>
    </row>
    <row r="479" spans="10:10" x14ac:dyDescent="0.25">
      <c r="J479" t="str">
        <f t="shared" ca="1" si="11"/>
        <v/>
      </c>
    </row>
    <row r="480" spans="10:10" x14ac:dyDescent="0.25">
      <c r="J480" t="str">
        <f t="shared" ca="1" si="11"/>
        <v/>
      </c>
    </row>
    <row r="481" spans="10:10" x14ac:dyDescent="0.25">
      <c r="J481" t="str">
        <f t="shared" ca="1" si="11"/>
        <v/>
      </c>
    </row>
    <row r="482" spans="10:10" x14ac:dyDescent="0.25">
      <c r="J482" t="str">
        <f t="shared" ca="1" si="11"/>
        <v/>
      </c>
    </row>
    <row r="483" spans="10:10" x14ac:dyDescent="0.25">
      <c r="J483" t="str">
        <f t="shared" ca="1" si="11"/>
        <v/>
      </c>
    </row>
    <row r="484" spans="10:10" x14ac:dyDescent="0.25">
      <c r="J484" t="str">
        <f t="shared" ca="1" si="11"/>
        <v/>
      </c>
    </row>
    <row r="485" spans="10:10" x14ac:dyDescent="0.25">
      <c r="J485" t="str">
        <f t="shared" ca="1" si="11"/>
        <v/>
      </c>
    </row>
    <row r="486" spans="10:10" x14ac:dyDescent="0.25">
      <c r="J486" t="str">
        <f t="shared" ca="1" si="11"/>
        <v/>
      </c>
    </row>
    <row r="487" spans="10:10" x14ac:dyDescent="0.25">
      <c r="J487" t="str">
        <f t="shared" ca="1" si="11"/>
        <v/>
      </c>
    </row>
    <row r="488" spans="10:10" x14ac:dyDescent="0.25">
      <c r="J488" t="str">
        <f t="shared" ca="1" si="11"/>
        <v/>
      </c>
    </row>
    <row r="489" spans="10:10" x14ac:dyDescent="0.25">
      <c r="J489" t="str">
        <f t="shared" ca="1" si="11"/>
        <v/>
      </c>
    </row>
    <row r="490" spans="10:10" x14ac:dyDescent="0.25">
      <c r="J490" t="str">
        <f t="shared" ca="1" si="11"/>
        <v/>
      </c>
    </row>
    <row r="491" spans="10:10" x14ac:dyDescent="0.25">
      <c r="J491" t="str">
        <f t="shared" ca="1" si="11"/>
        <v/>
      </c>
    </row>
    <row r="492" spans="10:10" x14ac:dyDescent="0.25">
      <c r="J492" t="str">
        <f t="shared" ca="1" si="11"/>
        <v/>
      </c>
    </row>
    <row r="493" spans="10:10" x14ac:dyDescent="0.25">
      <c r="J493" t="str">
        <f t="shared" ca="1" si="11"/>
        <v/>
      </c>
    </row>
    <row r="494" spans="10:10" x14ac:dyDescent="0.25">
      <c r="J494" t="str">
        <f t="shared" ca="1" si="11"/>
        <v/>
      </c>
    </row>
    <row r="495" spans="10:10" x14ac:dyDescent="0.25">
      <c r="J495" t="str">
        <f t="shared" ca="1" si="11"/>
        <v/>
      </c>
    </row>
    <row r="496" spans="10:10" x14ac:dyDescent="0.25">
      <c r="J496" t="str">
        <f t="shared" ca="1" si="11"/>
        <v/>
      </c>
    </row>
    <row r="497" spans="10:10" x14ac:dyDescent="0.25">
      <c r="J497" t="str">
        <f t="shared" ca="1" si="11"/>
        <v/>
      </c>
    </row>
    <row r="498" spans="10:10" x14ac:dyDescent="0.25">
      <c r="J498" t="str">
        <f t="shared" ca="1" si="11"/>
        <v/>
      </c>
    </row>
    <row r="499" spans="10:10" x14ac:dyDescent="0.25">
      <c r="J499" t="str">
        <f t="shared" ca="1" si="11"/>
        <v/>
      </c>
    </row>
    <row r="500" spans="10:10" x14ac:dyDescent="0.25">
      <c r="J500" t="str">
        <f t="shared" ca="1" si="11"/>
        <v/>
      </c>
    </row>
  </sheetData>
  <autoFilter ref="A1:L201" xr:uid="{00000000-0001-0000-0100-000000000000}"/>
  <phoneticPr fontId="58" type="noConversion"/>
  <conditionalFormatting sqref="C2:C500">
    <cfRule type="containsText" dxfId="9" priority="1" operator="containsText" text="Critical">
      <formula>NOT(ISERROR(SEARCH("Critical",C2)))</formula>
    </cfRule>
    <cfRule type="containsText" dxfId="8" priority="2" operator="containsText" text="High">
      <formula>NOT(ISERROR(SEARCH("High",C2)))</formula>
    </cfRule>
    <cfRule type="containsText" dxfId="7" priority="3" operator="containsText" text="Medium">
      <formula>NOT(ISERROR(SEARCH("Medium",C2)))</formula>
    </cfRule>
    <cfRule type="containsText" dxfId="6" priority="4" operator="containsText" text="Low">
      <formula>NOT(ISERROR(SEARCH("Low",C2)))</formula>
    </cfRule>
  </conditionalFormatting>
  <conditionalFormatting sqref="D2:D500">
    <cfRule type="containsText" dxfId="5" priority="5" operator="containsText" text="Open">
      <formula>NOT(ISERROR(SEARCH("Open",D2)))</formula>
    </cfRule>
    <cfRule type="containsText" dxfId="4" priority="6" operator="containsText" text="In Progress">
      <formula>NOT(ISERROR(SEARCH("In Progress",D2)))</formula>
    </cfRule>
    <cfRule type="containsText" dxfId="3" priority="7" operator="containsText" text="Fixed">
      <formula>NOT(ISERROR(SEARCH("Fixed",D2)))</formula>
    </cfRule>
    <cfRule type="containsText" dxfId="2" priority="8" operator="containsText" text="Verified">
      <formula>NOT(ISERROR(SEARCH("Verified",D2)))</formula>
    </cfRule>
    <cfRule type="containsText" dxfId="1" priority="9" operator="containsText" text="Closed">
      <formula>NOT(ISERROR(SEARCH("Closed",D2)))</formula>
    </cfRule>
    <cfRule type="containsText" dxfId="0" priority="10" operator="containsText" text="Reopened">
      <formula>NOT(ISERROR(SEARCH("Reopened",D2)))</formula>
    </cfRule>
  </conditionalFormatting>
  <pageMargins left="0.75" right="0.75" top="1" bottom="1" header="0.5" footer="0.5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61FDF8F-F38D-41A5-8324-BC80D69CC733}">
          <x14:formula1>
            <xm:f>'Chart Data'!$A$3:$A$6</xm:f>
          </x14:formula1>
          <xm:sqref>C2:C500</xm:sqref>
        </x14:dataValidation>
        <x14:dataValidation type="list" allowBlank="1" showInputMessage="1" showErrorMessage="1" errorTitle="Invalid Test Type" error="Please select a valid Test Type from the dropdown list." xr:uid="{200B5436-24DF-4D8B-9FF9-DB2B563813BE}">
          <x14:formula1>
            <xm:f>'Chart Data'!$V$3:$V$8</xm:f>
          </x14:formula1>
          <xm:sqref>K2:K500</xm:sqref>
        </x14:dataValidation>
        <x14:dataValidation type="list" allowBlank="1" showInputMessage="1" showErrorMessage="1" errorTitle="Invalid Environment" error="Please select a valid Environment from the dropdown list." xr:uid="{5B53D2C6-7FF4-44D2-9C6A-28859C37923B}">
          <x14:formula1>
            <xm:f>'Chart Data'!$Y$3:$Y$6</xm:f>
          </x14:formula1>
          <xm:sqref>L2:L500</xm:sqref>
        </x14:dataValidation>
        <x14:dataValidation type="list" allowBlank="1" showInputMessage="1" showErrorMessage="1" errorTitle="Invalid Status" error="Please select a valid status from the dropdown." xr:uid="{EBCC3BFF-743F-4D89-AFDC-9C07343F5DB6}">
          <x14:formula1>
            <xm:f>'Chart Data'!$D$3:$D$8</xm:f>
          </x14:formula1>
          <xm:sqref>D2:D500</xm:sqref>
        </x14:dataValidation>
        <x14:dataValidation type="list" allowBlank="1" showInputMessage="1" showErrorMessage="1" xr:uid="{7B33D32A-B4FA-44B7-A700-9FA4C5684EAC}">
          <x14:formula1>
            <xm:f>'Chart Data'!$G$3:$G$12</xm:f>
          </x14:formula1>
          <xm:sqref>E2:E500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FB950"/>
  </sheetPr>
  <dimension ref="A1:F9"/>
  <sheetViews>
    <sheetView workbookViewId="0"/>
  </sheetViews>
  <sheetFormatPr defaultRowHeight="15" x14ac:dyDescent="0.25"/>
  <cols>
    <col min="1" max="1" width="11" customWidth="1"/>
    <col min="2" max="2" width="14" customWidth="1"/>
    <col min="3" max="4" width="9" customWidth="1"/>
    <col min="5" max="5" width="10" customWidth="1"/>
    <col min="6" max="6" width="14" customWidth="1"/>
  </cols>
  <sheetData>
    <row r="1" spans="1:6" x14ac:dyDescent="0.25">
      <c r="A1" s="25" t="s">
        <v>29</v>
      </c>
      <c r="B1" s="25" t="s">
        <v>446</v>
      </c>
      <c r="C1" s="25" t="s">
        <v>447</v>
      </c>
      <c r="D1" s="25" t="s">
        <v>448</v>
      </c>
      <c r="E1" s="25" t="s">
        <v>449</v>
      </c>
      <c r="F1" s="25" t="s">
        <v>450</v>
      </c>
    </row>
    <row r="2" spans="1:6" x14ac:dyDescent="0.25">
      <c r="A2" s="26" t="s">
        <v>41</v>
      </c>
      <c r="B2" s="26">
        <v>94</v>
      </c>
      <c r="C2" s="26">
        <v>71</v>
      </c>
      <c r="D2" s="26">
        <v>14</v>
      </c>
      <c r="E2" s="26">
        <v>9</v>
      </c>
      <c r="F2" s="26">
        <v>75.5</v>
      </c>
    </row>
    <row r="3" spans="1:6" x14ac:dyDescent="0.25">
      <c r="A3" s="27" t="s">
        <v>44</v>
      </c>
      <c r="B3" s="27">
        <v>112</v>
      </c>
      <c r="C3" s="27">
        <v>95</v>
      </c>
      <c r="D3" s="27">
        <v>6</v>
      </c>
      <c r="E3" s="27">
        <v>11</v>
      </c>
      <c r="F3" s="27">
        <v>84.8</v>
      </c>
    </row>
    <row r="4" spans="1:6" x14ac:dyDescent="0.25">
      <c r="A4" s="26" t="s">
        <v>49</v>
      </c>
      <c r="B4" s="26">
        <v>123</v>
      </c>
      <c r="C4" s="26">
        <v>106</v>
      </c>
      <c r="D4" s="26">
        <v>9</v>
      </c>
      <c r="E4" s="26">
        <v>8</v>
      </c>
      <c r="F4" s="26">
        <v>86.2</v>
      </c>
    </row>
    <row r="5" spans="1:6" x14ac:dyDescent="0.25">
      <c r="A5" s="27" t="s">
        <v>58</v>
      </c>
      <c r="B5" s="27">
        <v>104</v>
      </c>
      <c r="C5" s="27">
        <v>75</v>
      </c>
      <c r="D5" s="27">
        <v>19</v>
      </c>
      <c r="E5" s="27">
        <v>10</v>
      </c>
      <c r="F5" s="27">
        <v>72.099999999999994</v>
      </c>
    </row>
    <row r="6" spans="1:6" x14ac:dyDescent="0.25">
      <c r="A6" s="26" t="s">
        <v>47</v>
      </c>
      <c r="B6" s="26">
        <v>131</v>
      </c>
      <c r="C6" s="26">
        <v>115</v>
      </c>
      <c r="D6" s="26">
        <v>8</v>
      </c>
      <c r="E6" s="26">
        <v>8</v>
      </c>
      <c r="F6" s="26">
        <v>87.8</v>
      </c>
    </row>
    <row r="7" spans="1:6" x14ac:dyDescent="0.25">
      <c r="A7" s="27" t="s">
        <v>93</v>
      </c>
      <c r="B7" s="27">
        <v>91</v>
      </c>
      <c r="C7" s="27">
        <v>70</v>
      </c>
      <c r="D7" s="27">
        <v>9</v>
      </c>
      <c r="E7" s="27">
        <v>12</v>
      </c>
      <c r="F7" s="27">
        <v>76.900000000000006</v>
      </c>
    </row>
    <row r="8" spans="1:6" x14ac:dyDescent="0.25">
      <c r="A8" s="26" t="s">
        <v>35</v>
      </c>
      <c r="B8" s="26">
        <v>97</v>
      </c>
      <c r="C8" s="26">
        <v>77</v>
      </c>
      <c r="D8" s="26">
        <v>13</v>
      </c>
      <c r="E8" s="26">
        <v>7</v>
      </c>
      <c r="F8" s="26">
        <v>79.400000000000006</v>
      </c>
    </row>
    <row r="9" spans="1:6" x14ac:dyDescent="0.25">
      <c r="A9" s="27" t="s">
        <v>54</v>
      </c>
      <c r="B9" s="27">
        <v>80</v>
      </c>
      <c r="C9" s="27">
        <v>59</v>
      </c>
      <c r="D9" s="27">
        <v>9</v>
      </c>
      <c r="E9" s="27">
        <v>12</v>
      </c>
      <c r="F9" s="27">
        <v>73.8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Z14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6.140625" customWidth="1"/>
    <col min="2" max="2" width="12.42578125" customWidth="1"/>
    <col min="3" max="3" width="3.85546875" style="71" customWidth="1"/>
    <col min="4" max="4" width="17.140625" customWidth="1"/>
    <col min="5" max="5" width="12.42578125" customWidth="1"/>
    <col min="6" max="6" width="3.85546875" style="71" customWidth="1"/>
    <col min="7" max="7" width="19" customWidth="1"/>
    <col min="8" max="8" width="12.42578125" customWidth="1"/>
    <col min="9" max="9" width="3.85546875" style="71" customWidth="1"/>
    <col min="10" max="10" width="14.28515625" customWidth="1"/>
    <col min="11" max="11" width="12.42578125" customWidth="1"/>
    <col min="12" max="12" width="11.42578125" customWidth="1"/>
    <col min="13" max="13" width="12.42578125" customWidth="1"/>
    <col min="14" max="14" width="14.28515625" customWidth="1"/>
    <col min="15" max="15" width="3.85546875" style="71" customWidth="1"/>
    <col min="16" max="16" width="15.28515625" customWidth="1"/>
    <col min="17" max="17" width="17.140625" customWidth="1"/>
    <col min="18" max="18" width="3.85546875" style="71" customWidth="1"/>
    <col min="19" max="19" width="14.28515625" customWidth="1"/>
    <col min="20" max="20" width="12.42578125" customWidth="1"/>
    <col min="21" max="21" width="3.85546875" style="71" customWidth="1"/>
    <col min="22" max="22" width="19" customWidth="1"/>
    <col min="23" max="23" width="11.42578125" customWidth="1"/>
    <col min="24" max="24" width="3.85546875" style="71" customWidth="1"/>
    <col min="25" max="25" width="19" customWidth="1"/>
    <col min="26" max="26" width="11.42578125" customWidth="1"/>
  </cols>
  <sheetData>
    <row r="1" spans="1:26" ht="30" customHeight="1" x14ac:dyDescent="0.25">
      <c r="A1" s="115" t="s">
        <v>473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spans="1:26" x14ac:dyDescent="0.25">
      <c r="A2" s="51" t="s">
        <v>474</v>
      </c>
      <c r="B2" s="51" t="s">
        <v>451</v>
      </c>
      <c r="D2" s="48" t="s">
        <v>475</v>
      </c>
      <c r="E2" s="48" t="s">
        <v>451</v>
      </c>
      <c r="G2" s="50" t="s">
        <v>476</v>
      </c>
      <c r="H2" s="50" t="s">
        <v>452</v>
      </c>
      <c r="J2" s="52" t="s">
        <v>477</v>
      </c>
      <c r="K2" s="52" t="s">
        <v>447</v>
      </c>
      <c r="L2" s="52" t="s">
        <v>448</v>
      </c>
      <c r="M2" s="52" t="s">
        <v>449</v>
      </c>
      <c r="N2" s="52" t="s">
        <v>453</v>
      </c>
      <c r="P2" s="49" t="s">
        <v>478</v>
      </c>
      <c r="Q2" s="49" t="s">
        <v>454</v>
      </c>
      <c r="S2" s="53" t="s">
        <v>479</v>
      </c>
      <c r="T2" s="53" t="s">
        <v>455</v>
      </c>
      <c r="U2" s="114"/>
      <c r="V2" s="116" t="s">
        <v>483</v>
      </c>
      <c r="W2" s="116" t="s">
        <v>451</v>
      </c>
      <c r="X2" s="114"/>
      <c r="Y2" s="117" t="s">
        <v>484</v>
      </c>
      <c r="Z2" s="117" t="s">
        <v>451</v>
      </c>
    </row>
    <row r="3" spans="1:26" x14ac:dyDescent="0.25">
      <c r="A3" s="63" t="s">
        <v>37</v>
      </c>
      <c r="B3" s="54">
        <f>COUNTIF('Bug Tracker'!C:C,A3)</f>
        <v>18</v>
      </c>
      <c r="D3" s="123" t="s">
        <v>33</v>
      </c>
      <c r="E3" s="124">
        <f>COUNTIF('Bug Tracker'!D:D,D3)</f>
        <v>23</v>
      </c>
      <c r="G3" s="68" t="s">
        <v>46</v>
      </c>
      <c r="H3" s="59">
        <f>COUNTIF('Bug Tracker'!E:E,G3)</f>
        <v>26</v>
      </c>
      <c r="J3" s="132" t="s">
        <v>41</v>
      </c>
      <c r="K3" s="131">
        <f>VLOOKUP(J3,'Test Runs'!$A:$C,3,FALSE)</f>
        <v>71</v>
      </c>
      <c r="L3" s="131">
        <f>VLOOKUP(J3,'Test Runs'!$A:$D,4,FALSE)</f>
        <v>14</v>
      </c>
      <c r="M3" s="131">
        <f>VLOOKUP(J3,'Test Runs'!$A:$E,5,FALSE)</f>
        <v>9</v>
      </c>
      <c r="N3" s="131">
        <f>VLOOKUP(J3,'Test Runs'!$A:$F,6,FALSE)</f>
        <v>75.5</v>
      </c>
      <c r="P3" s="129" t="s">
        <v>489</v>
      </c>
      <c r="Q3" s="61" cm="1">
        <f t="array" ref="Q3">SUMPRODUCT((MONTH('Bug Tracker'!$H$2:$H$201)=10)*(YEAR('Bug Tracker'!$H$2:$H$201)=2025)*1)</f>
        <v>26</v>
      </c>
      <c r="S3" s="138" t="s">
        <v>41</v>
      </c>
      <c r="T3" s="137">
        <f>ROUND((COUNTIFS('Bug Tracker'!G:G,S3,'Bug Tracker'!D:D,"Closed")+COUNTIFS('Bug Tracker'!G:G,S3,'Bug Tracker'!D:D,"Fixed")+COUNTIFS('Bug Tracker'!G:G,S3,'Bug Tracker'!D:D,"Verified"))/COUNTIF('Bug Tracker'!G:G,S3)*100,1)</f>
        <v>72.400000000000006</v>
      </c>
      <c r="U3" s="114"/>
      <c r="V3" s="133" t="s">
        <v>69</v>
      </c>
      <c r="W3" s="134">
        <f>COUNTIF('Bug Tracker'!K:K,V3)</f>
        <v>32</v>
      </c>
      <c r="X3" s="114"/>
      <c r="Y3" s="135" t="s">
        <v>70</v>
      </c>
      <c r="Z3" s="136">
        <f>COUNTIF('Bug Tracker'!L:L,Y3)</f>
        <v>57</v>
      </c>
    </row>
    <row r="4" spans="1:26" x14ac:dyDescent="0.25">
      <c r="A4" s="64" t="s">
        <v>32</v>
      </c>
      <c r="B4" s="55">
        <f>COUNTIF('Bug Tracker'!C:C,A4)</f>
        <v>60</v>
      </c>
      <c r="D4" s="125" t="s">
        <v>38</v>
      </c>
      <c r="E4" s="126">
        <f>COUNTIF('Bug Tracker'!D:D,D4)</f>
        <v>21</v>
      </c>
      <c r="G4" s="67" t="s">
        <v>39</v>
      </c>
      <c r="H4" s="58">
        <f>COUNTIF('Bug Tracker'!E:E,G4)</f>
        <v>25</v>
      </c>
      <c r="J4" s="69" t="s">
        <v>44</v>
      </c>
      <c r="K4" s="60">
        <f>'Test Runs'!C3</f>
        <v>95</v>
      </c>
      <c r="L4" s="60">
        <f>'Test Runs'!D3</f>
        <v>6</v>
      </c>
      <c r="M4" s="60">
        <f>'Test Runs'!E3</f>
        <v>11</v>
      </c>
      <c r="N4" s="60">
        <f>'Test Runs'!F3</f>
        <v>84.8</v>
      </c>
      <c r="P4" s="130" t="s">
        <v>456</v>
      </c>
      <c r="Q4" s="58" cm="1">
        <f t="array" ref="Q4">SUMPRODUCT((MONTH('Bug Tracker'!$H$2:$H$201)=11)*(YEAR('Bug Tracker'!$H$2:$H$201)=2025)*1)</f>
        <v>25</v>
      </c>
      <c r="S4" s="70" t="s">
        <v>44</v>
      </c>
      <c r="T4" s="62">
        <f>ROUND((COUNTIFS('Bug Tracker'!G:G,S4,'Bug Tracker'!D:D,"Closed")+COUNTIFS('Bug Tracker'!G:G,S4,'Bug Tracker'!D:D,"Fixed")+COUNTIFS('Bug Tracker'!G:G,S4,'Bug Tracker'!D:D,"Verified"))/COUNTIF('Bug Tracker'!G:G,S4)*100,1)</f>
        <v>65.400000000000006</v>
      </c>
      <c r="U4" s="114"/>
      <c r="V4" s="125" t="s">
        <v>74</v>
      </c>
      <c r="W4" s="126">
        <f>COUNTIF('Bug Tracker'!K:K,V4)</f>
        <v>38</v>
      </c>
      <c r="X4" s="114"/>
      <c r="Y4" s="125" t="s">
        <v>79</v>
      </c>
      <c r="Z4" s="126">
        <f>COUNTIF('Bug Tracker'!L:L,Y4)</f>
        <v>53</v>
      </c>
    </row>
    <row r="5" spans="1:26" x14ac:dyDescent="0.25">
      <c r="A5" s="65" t="s">
        <v>81</v>
      </c>
      <c r="B5" s="56">
        <f>COUNTIF('Bug Tracker'!C:C,A5)</f>
        <v>87</v>
      </c>
      <c r="D5" s="123" t="s">
        <v>82</v>
      </c>
      <c r="E5" s="124">
        <f>COUNTIF('Bug Tracker'!D:D,D5)</f>
        <v>47</v>
      </c>
      <c r="G5" s="68" t="s">
        <v>56</v>
      </c>
      <c r="H5" s="59">
        <f>COUNTIF('Bug Tracker'!E:E,G5)</f>
        <v>23</v>
      </c>
      <c r="J5" s="67" t="s">
        <v>49</v>
      </c>
      <c r="K5" s="58">
        <f>'Test Runs'!C4</f>
        <v>106</v>
      </c>
      <c r="L5" s="58">
        <f>'Test Runs'!D4</f>
        <v>9</v>
      </c>
      <c r="M5" s="58">
        <f>'Test Runs'!E4</f>
        <v>8</v>
      </c>
      <c r="N5" s="58">
        <f>'Test Runs'!F4</f>
        <v>86.2</v>
      </c>
      <c r="P5" s="129" t="s">
        <v>457</v>
      </c>
      <c r="Q5" s="61" cm="1">
        <f t="array" ref="Q5">SUMPRODUCT((MONTH('Bug Tracker'!$H$2:$H$201)=12)*(YEAR('Bug Tracker'!$H$2:$H$201)=2025)*1)</f>
        <v>40</v>
      </c>
      <c r="S5" s="67" t="s">
        <v>49</v>
      </c>
      <c r="T5" s="58">
        <f>ROUND((COUNTIFS('Bug Tracker'!G:G,S5,'Bug Tracker'!D:D,"Closed")+COUNTIFS('Bug Tracker'!G:G,S5,'Bug Tracker'!D:D,"Fixed")+COUNTIFS('Bug Tracker'!G:G,S5,'Bug Tracker'!D:D,"Verified"))/COUNTIF('Bug Tracker'!G:G,S5)*100,1)</f>
        <v>83.3</v>
      </c>
      <c r="U5" s="114"/>
      <c r="V5" s="133" t="s">
        <v>78</v>
      </c>
      <c r="W5" s="134">
        <f>COUNTIF('Bug Tracker'!K:K,V5)</f>
        <v>37</v>
      </c>
      <c r="X5" s="114"/>
      <c r="Y5" s="135" t="s">
        <v>90</v>
      </c>
      <c r="Z5" s="136">
        <f>COUNTIF('Bug Tracker'!L:L,Y5)</f>
        <v>48</v>
      </c>
    </row>
    <row r="6" spans="1:26" x14ac:dyDescent="0.25">
      <c r="A6" s="66" t="s">
        <v>111</v>
      </c>
      <c r="B6" s="57">
        <f>COUNTIF('Bug Tracker'!C:C,A6)</f>
        <v>35</v>
      </c>
      <c r="D6" s="125" t="s">
        <v>105</v>
      </c>
      <c r="E6" s="126">
        <f>COUNTIF('Bug Tracker'!D:D,D6)</f>
        <v>43</v>
      </c>
      <c r="G6" s="67" t="s">
        <v>133</v>
      </c>
      <c r="H6" s="58">
        <f>COUNTIF('Bug Tracker'!E:E,G6)</f>
        <v>22</v>
      </c>
      <c r="J6" s="69" t="s">
        <v>58</v>
      </c>
      <c r="K6" s="60">
        <f>'Test Runs'!C5</f>
        <v>75</v>
      </c>
      <c r="L6" s="60">
        <f>'Test Runs'!D5</f>
        <v>19</v>
      </c>
      <c r="M6" s="60">
        <f>'Test Runs'!E5</f>
        <v>10</v>
      </c>
      <c r="N6" s="60">
        <f>'Test Runs'!F5</f>
        <v>72.099999999999994</v>
      </c>
      <c r="P6" s="130" t="s">
        <v>458</v>
      </c>
      <c r="Q6" s="58" cm="1">
        <f t="array" ref="Q6">SUMPRODUCT((MONTH('Bug Tracker'!$H$2:$H$201)=1)*(YEAR('Bug Tracker'!$H$2:$H$201)=2026)*1)</f>
        <v>37</v>
      </c>
      <c r="S6" s="70" t="s">
        <v>58</v>
      </c>
      <c r="T6" s="62">
        <f>ROUND((COUNTIFS('Bug Tracker'!G:G,S6,'Bug Tracker'!D:D,"Closed")+COUNTIFS('Bug Tracker'!G:G,S6,'Bug Tracker'!D:D,"Fixed")+COUNTIFS('Bug Tracker'!G:G,S6,'Bug Tracker'!D:D,"Verified"))/COUNTIF('Bug Tracker'!G:G,S6)*100,1)</f>
        <v>70</v>
      </c>
      <c r="U6" s="114"/>
      <c r="V6" s="125" t="s">
        <v>89</v>
      </c>
      <c r="W6" s="126">
        <f>COUNTIF('Bug Tracker'!K:K,V6)</f>
        <v>31</v>
      </c>
      <c r="X6" s="114"/>
      <c r="Y6" s="125" t="s">
        <v>95</v>
      </c>
      <c r="Z6" s="126">
        <f>COUNTIF('Bug Tracker'!L:L,Y6)</f>
        <v>42</v>
      </c>
    </row>
    <row r="7" spans="1:26" x14ac:dyDescent="0.25">
      <c r="D7" s="123" t="s">
        <v>65</v>
      </c>
      <c r="E7" s="124">
        <f>COUNTIF('Bug Tracker'!D:D,D7)</f>
        <v>54</v>
      </c>
      <c r="G7" s="68" t="s">
        <v>34</v>
      </c>
      <c r="H7" s="59">
        <f>COUNTIF('Bug Tracker'!E:E,G7)</f>
        <v>20</v>
      </c>
      <c r="J7" s="67" t="s">
        <v>47</v>
      </c>
      <c r="K7" s="58">
        <f>'Test Runs'!C6</f>
        <v>115</v>
      </c>
      <c r="L7" s="58">
        <f>'Test Runs'!D6</f>
        <v>8</v>
      </c>
      <c r="M7" s="58">
        <f>'Test Runs'!E6</f>
        <v>8</v>
      </c>
      <c r="N7" s="58">
        <f>'Test Runs'!F6</f>
        <v>87.8</v>
      </c>
      <c r="P7" s="129" t="s">
        <v>459</v>
      </c>
      <c r="Q7" s="61" cm="1">
        <f t="array" ref="Q7">SUMPRODUCT((MONTH('Bug Tracker'!$H$2:$H$201)=2)*(YEAR('Bug Tracker'!$H$2:$H$201)=2026)*1)</f>
        <v>22</v>
      </c>
      <c r="S7" s="67" t="s">
        <v>47</v>
      </c>
      <c r="T7" s="58">
        <f>ROUND((COUNTIFS('Bug Tracker'!G:G,S7,'Bug Tracker'!D:D,"Closed")+COUNTIFS('Bug Tracker'!G:G,S7,'Bug Tracker'!D:D,"Fixed")+COUNTIFS('Bug Tracker'!G:G,S7,'Bug Tracker'!D:D,"Verified"))/COUNTIF('Bug Tracker'!G:G,S7)*100,1)</f>
        <v>59.3</v>
      </c>
      <c r="U7" s="114"/>
      <c r="V7" s="133" t="s">
        <v>118</v>
      </c>
      <c r="W7" s="134">
        <f>COUNTIF('Bug Tracker'!K:K,V7)</f>
        <v>37</v>
      </c>
      <c r="X7" s="114"/>
      <c r="Y7" s="118"/>
      <c r="Z7" s="119"/>
    </row>
    <row r="8" spans="1:26" x14ac:dyDescent="0.25">
      <c r="A8" s="127" t="s">
        <v>480</v>
      </c>
      <c r="B8" s="127">
        <f>SUM(B3:B6)</f>
        <v>200</v>
      </c>
      <c r="D8" s="125" t="s">
        <v>43</v>
      </c>
      <c r="E8" s="126">
        <f>COUNTIF('Bug Tracker'!D:D,D8)</f>
        <v>12</v>
      </c>
      <c r="G8" s="67" t="s">
        <v>76</v>
      </c>
      <c r="H8" s="58">
        <f>COUNTIF('Bug Tracker'!E:E,G8)</f>
        <v>19</v>
      </c>
      <c r="J8" s="69" t="s">
        <v>93</v>
      </c>
      <c r="K8" s="60">
        <f>'Test Runs'!C7</f>
        <v>70</v>
      </c>
      <c r="L8" s="60">
        <f>'Test Runs'!D7</f>
        <v>9</v>
      </c>
      <c r="M8" s="60">
        <f>'Test Runs'!E7</f>
        <v>12</v>
      </c>
      <c r="N8" s="60">
        <f>'Test Runs'!F7</f>
        <v>76.900000000000006</v>
      </c>
      <c r="P8" s="130" t="s">
        <v>460</v>
      </c>
      <c r="Q8" s="58" cm="1">
        <f t="array" ref="Q8">SUMPRODUCT((MONTH('Bug Tracker'!$H$2:$H$201)=3)*(YEAR('Bug Tracker'!$H$2:$H$201)=2026)*1)</f>
        <v>36</v>
      </c>
      <c r="S8" s="70" t="s">
        <v>93</v>
      </c>
      <c r="T8" s="62">
        <f>ROUND((COUNTIFS('Bug Tracker'!G:G,S8,'Bug Tracker'!D:D,"Closed")+COUNTIFS('Bug Tracker'!G:G,S8,'Bug Tracker'!D:D,"Fixed")+COUNTIFS('Bug Tracker'!G:G,S8,'Bug Tracker'!D:D,"Verified"))/COUNTIF('Bug Tracker'!G:G,S8)*100,1)</f>
        <v>69.2</v>
      </c>
      <c r="U8" s="114"/>
      <c r="V8" s="125" t="s">
        <v>121</v>
      </c>
      <c r="W8" s="126">
        <f>COUNTIF('Bug Tracker'!K:K,V8)</f>
        <v>25</v>
      </c>
      <c r="X8" s="114"/>
      <c r="Y8" s="121" t="s">
        <v>480</v>
      </c>
      <c r="Z8" s="121">
        <f>SUM(Z3:Z6)</f>
        <v>200</v>
      </c>
    </row>
    <row r="9" spans="1:26" x14ac:dyDescent="0.25">
      <c r="D9" s="122"/>
      <c r="E9" s="122"/>
      <c r="G9" s="68" t="s">
        <v>51</v>
      </c>
      <c r="H9" s="59">
        <f>COUNTIF('Bug Tracker'!E:E,G9)</f>
        <v>18</v>
      </c>
      <c r="J9" s="67" t="s">
        <v>35</v>
      </c>
      <c r="K9" s="58">
        <f>'Test Runs'!C8</f>
        <v>77</v>
      </c>
      <c r="L9" s="58">
        <f>'Test Runs'!D8</f>
        <v>13</v>
      </c>
      <c r="M9" s="58">
        <f>'Test Runs'!E8</f>
        <v>7</v>
      </c>
      <c r="N9" s="58">
        <f>'Test Runs'!F8</f>
        <v>79.400000000000006</v>
      </c>
      <c r="P9" s="129" t="s">
        <v>461</v>
      </c>
      <c r="Q9" s="61" cm="1">
        <f t="array" ref="Q9">SUMPRODUCT((MONTH('Bug Tracker'!$H$2:$H$201)=4)*(YEAR('Bug Tracker'!$H$2:$H$201)=2026)*1)</f>
        <v>14</v>
      </c>
      <c r="S9" s="67" t="s">
        <v>35</v>
      </c>
      <c r="T9" s="58">
        <f>ROUND((COUNTIFS('Bug Tracker'!G:G,S9,'Bug Tracker'!D:D,"Closed")+COUNTIFS('Bug Tracker'!G:G,S9,'Bug Tracker'!D:D,"Fixed")+COUNTIFS('Bug Tracker'!G:G,S9,'Bug Tracker'!D:D,"Verified"))/COUNTIF('Bug Tracker'!G:G,S9)*100,1)</f>
        <v>75</v>
      </c>
      <c r="U9" s="114"/>
      <c r="V9" s="118"/>
      <c r="W9" s="119"/>
      <c r="X9" s="114"/>
    </row>
    <row r="10" spans="1:26" x14ac:dyDescent="0.25">
      <c r="D10" s="128" t="s">
        <v>480</v>
      </c>
      <c r="E10" s="128">
        <f>SUM(E3:E8)</f>
        <v>200</v>
      </c>
      <c r="G10" s="67" t="s">
        <v>53</v>
      </c>
      <c r="H10" s="58">
        <f>COUNTIF('Bug Tracker'!E:E,G10)</f>
        <v>17</v>
      </c>
      <c r="J10" s="69" t="s">
        <v>54</v>
      </c>
      <c r="K10" s="60">
        <f>'Test Runs'!C9</f>
        <v>59</v>
      </c>
      <c r="L10" s="60">
        <f>'Test Runs'!D9</f>
        <v>9</v>
      </c>
      <c r="M10" s="60">
        <f>'Test Runs'!E9</f>
        <v>12</v>
      </c>
      <c r="N10" s="60">
        <f>'Test Runs'!F9</f>
        <v>73.8</v>
      </c>
      <c r="P10" s="67"/>
      <c r="Q10" s="58"/>
      <c r="S10" s="70" t="s">
        <v>54</v>
      </c>
      <c r="T10" s="62">
        <f>ROUND((COUNTIFS('Bug Tracker'!G:G,S10,'Bug Tracker'!D:D,"Closed")+COUNTIFS('Bug Tracker'!G:G,S10,'Bug Tracker'!D:D,"Fixed")+COUNTIFS('Bug Tracker'!G:G,S10,'Bug Tracker'!D:D,"Verified"))/COUNTIF('Bug Tracker'!G:G,S10)*100,1)</f>
        <v>84.6</v>
      </c>
      <c r="U10" s="114"/>
      <c r="V10" s="120" t="s">
        <v>480</v>
      </c>
      <c r="W10" s="120">
        <f>SUM(W3:W8)</f>
        <v>200</v>
      </c>
      <c r="X10" s="114"/>
    </row>
    <row r="11" spans="1:26" x14ac:dyDescent="0.25">
      <c r="G11" s="68" t="s">
        <v>83</v>
      </c>
      <c r="H11" s="59">
        <f>COUNTIF('Bug Tracker'!E:E,G11)</f>
        <v>15</v>
      </c>
      <c r="J11" s="67"/>
      <c r="K11" s="58"/>
      <c r="L11" s="58"/>
      <c r="M11" s="58"/>
      <c r="N11" s="58"/>
      <c r="P11" s="49" t="s">
        <v>480</v>
      </c>
      <c r="Q11" s="49">
        <f>SUM(Q3:Q9)</f>
        <v>200</v>
      </c>
      <c r="S11" s="67"/>
      <c r="T11" s="58"/>
      <c r="U11" s="114"/>
      <c r="X11" s="114"/>
    </row>
    <row r="12" spans="1:26" x14ac:dyDescent="0.25">
      <c r="G12" s="67" t="s">
        <v>106</v>
      </c>
      <c r="H12" s="58">
        <f>COUNTIF('Bug Tracker'!E:E,G12)</f>
        <v>15</v>
      </c>
      <c r="J12" s="52" t="s">
        <v>482</v>
      </c>
      <c r="K12" s="52">
        <f>SUM(K3:K10)</f>
        <v>668</v>
      </c>
      <c r="L12" s="52">
        <f>SUM(L3:L10)</f>
        <v>87</v>
      </c>
      <c r="M12" s="52">
        <f>SUM(M3:M10)</f>
        <v>77</v>
      </c>
      <c r="N12" s="52">
        <f>AVERAGE(N3:N10)</f>
        <v>79.5625</v>
      </c>
      <c r="S12" s="53" t="s">
        <v>481</v>
      </c>
      <c r="T12" s="53">
        <f>AVERAGE(T3:T10)</f>
        <v>72.400000000000006</v>
      </c>
    </row>
    <row r="13" spans="1:26" x14ac:dyDescent="0.25">
      <c r="G13" s="122"/>
      <c r="H13" s="122"/>
    </row>
    <row r="14" spans="1:26" x14ac:dyDescent="0.25">
      <c r="G14" s="50" t="s">
        <v>480</v>
      </c>
      <c r="H14" s="50">
        <f>SUM(H3:H12)</f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C8CFF"/>
  </sheetPr>
  <dimension ref="A1:S39"/>
  <sheetViews>
    <sheetView showGridLines="0" workbookViewId="0">
      <selection sqref="A1:J1"/>
    </sheetView>
  </sheetViews>
  <sheetFormatPr defaultRowHeight="15" x14ac:dyDescent="0.25"/>
  <cols>
    <col min="1" max="1" width="6" customWidth="1"/>
    <col min="2" max="2" width="20" customWidth="1"/>
    <col min="3" max="3" width="15" customWidth="1"/>
    <col min="4" max="4" width="14" customWidth="1"/>
    <col min="5" max="5" width="15" customWidth="1"/>
    <col min="6" max="6" width="14" customWidth="1"/>
    <col min="7" max="7" width="16" customWidth="1"/>
    <col min="12" max="17" width="0" hidden="1" customWidth="1"/>
  </cols>
  <sheetData>
    <row r="1" spans="1:19" ht="39.950000000000003" customHeight="1" x14ac:dyDescent="0.25">
      <c r="A1" s="190" t="s">
        <v>462</v>
      </c>
      <c r="B1" s="191"/>
      <c r="C1" s="191"/>
      <c r="D1" s="191"/>
      <c r="E1" s="191"/>
      <c r="F1" s="191"/>
      <c r="G1" s="191"/>
      <c r="H1" s="191"/>
      <c r="I1" s="191"/>
      <c r="J1" s="191"/>
      <c r="K1" s="1"/>
      <c r="L1" s="1"/>
      <c r="M1" s="1"/>
      <c r="N1" s="1"/>
      <c r="O1" s="1"/>
      <c r="P1" s="1"/>
      <c r="Q1" s="1"/>
      <c r="R1" s="1"/>
      <c r="S1" s="1"/>
    </row>
    <row r="2" spans="1:19" ht="5.0999999999999996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1"/>
      <c r="L2" s="1"/>
      <c r="M2" s="1"/>
      <c r="N2" s="1"/>
      <c r="O2" s="1"/>
      <c r="P2" s="1"/>
      <c r="Q2" s="1"/>
      <c r="R2" s="1"/>
      <c r="S2" s="1"/>
    </row>
    <row r="3" spans="1:19" ht="18" customHeight="1" x14ac:dyDescent="0.25">
      <c r="A3" s="192" t="str">
        <f>"Sprint 1–8  |  "&amp;(COUNTA('Bug Tracker'!A:A)-1)&amp;" Total Bugs  |  "&amp;COUNTA($L$6:$L$12)&amp;" Testers"</f>
        <v>Sprint 1–8  |  200 Total Bugs  |  7 Testers</v>
      </c>
      <c r="B3" s="191"/>
      <c r="C3" s="191"/>
      <c r="D3" s="191"/>
      <c r="E3" s="191"/>
      <c r="F3" s="191"/>
      <c r="G3" s="191"/>
      <c r="H3" s="191"/>
      <c r="I3" s="191"/>
      <c r="J3" s="191"/>
      <c r="K3" s="1"/>
      <c r="L3" s="1"/>
      <c r="M3" s="1"/>
      <c r="N3" s="1"/>
      <c r="O3" s="1"/>
      <c r="P3" s="1"/>
      <c r="Q3" s="1"/>
      <c r="R3" s="1"/>
      <c r="S3" s="1"/>
    </row>
    <row r="4" spans="1:19" ht="18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1.95" customHeight="1" x14ac:dyDescent="0.25">
      <c r="A5" s="29" t="s">
        <v>463</v>
      </c>
      <c r="B5" s="29" t="s">
        <v>464</v>
      </c>
      <c r="C5" s="29" t="s">
        <v>465</v>
      </c>
      <c r="D5" s="29" t="s">
        <v>466</v>
      </c>
      <c r="E5" s="29" t="s">
        <v>467</v>
      </c>
      <c r="F5" s="29" t="s">
        <v>468</v>
      </c>
      <c r="G5" s="29" t="s">
        <v>118</v>
      </c>
      <c r="H5" s="1"/>
      <c r="I5" s="1"/>
      <c r="J5" s="1"/>
      <c r="K5" s="1"/>
      <c r="L5" s="1" t="s">
        <v>28</v>
      </c>
      <c r="M5" s="1" t="s">
        <v>452</v>
      </c>
      <c r="N5" s="1" t="s">
        <v>65</v>
      </c>
      <c r="O5" s="1" t="s">
        <v>37</v>
      </c>
      <c r="P5" s="1" t="s">
        <v>485</v>
      </c>
      <c r="Q5" s="1" t="s">
        <v>486</v>
      </c>
      <c r="R5" s="1"/>
      <c r="S5" s="1"/>
    </row>
    <row r="6" spans="1:19" ht="21.95" customHeight="1" x14ac:dyDescent="0.25">
      <c r="A6" s="30">
        <v>1</v>
      </c>
      <c r="B6" s="30" t="str">
        <f>INDEX(L$6:L$12,MATCH(LARGE(P$6:P$12,1),P$6:P$12,0))</f>
        <v>Frank Liu</v>
      </c>
      <c r="C6" s="30">
        <f>INDEX(M$6:M$12,MATCH(LARGE(P$6:P$12,1),P$6:P$12,0))</f>
        <v>18</v>
      </c>
      <c r="D6" s="30">
        <f>INDEX(N$6:N$12,MATCH(LARGE(P$6:P$12,1),P$6:P$12,0))</f>
        <v>17</v>
      </c>
      <c r="E6" s="30">
        <f>INDEX(O$6:O$12,MATCH(LARGE(P$6:P$12,1),P$6:P$12,0))</f>
        <v>2</v>
      </c>
      <c r="F6" s="31">
        <f>LARGE(P$6:P$12,1)</f>
        <v>94.4</v>
      </c>
      <c r="G6" s="32" t="str">
        <f>INDEX(Q$6:Q$12,MATCH(LARGE(P$6:P$12,1),P$6:P$12,0))</f>
        <v>🥇 Excellent</v>
      </c>
      <c r="H6" s="1"/>
      <c r="I6" s="1"/>
      <c r="J6" s="1"/>
      <c r="K6" s="1"/>
      <c r="L6" s="1" t="s">
        <v>120</v>
      </c>
      <c r="M6" s="1">
        <f>COUNTIF('Bug Tracker'!F:F,L6)</f>
        <v>33</v>
      </c>
      <c r="N6" s="1">
        <f>COUNTIFS('Bug Tracker'!F:F,L6,'Bug Tracker'!D:D,"Closed")+COUNTIFS('Bug Tracker'!F:F,L6,'Bug Tracker'!D:D,"Fixed")+COUNTIFS('Bug Tracker'!F:F,L6,'Bug Tracker'!D:D,"Verified")</f>
        <v>20</v>
      </c>
      <c r="O6" s="1">
        <f>COUNTIFS('Bug Tracker'!F:F,L6,'Bug Tracker'!C:C,"Critical")</f>
        <v>3</v>
      </c>
      <c r="P6" s="1">
        <f t="shared" ref="P6:P12" si="0">ROUND(N6/M6*100,1)</f>
        <v>60.6</v>
      </c>
      <c r="Q6" s="1" t="str">
        <f t="shared" ref="Q6:Q12" si="1">IF(P6&gt;=75,"🥇 Excellent",IF(P6&gt;=60,"🥈 Good",IF(P6&gt;=50,"🥉 Average","⚠️ Needs Improvement")))</f>
        <v>🥈 Good</v>
      </c>
      <c r="R6" s="1"/>
      <c r="S6" s="1"/>
    </row>
    <row r="7" spans="1:19" ht="21.95" customHeight="1" x14ac:dyDescent="0.25">
      <c r="A7" s="33">
        <v>2</v>
      </c>
      <c r="B7" s="33" t="str">
        <f>INDEX(L$6:L$12,MATCH(LARGE(P$6:P$12,2),P$6:P$12,0))</f>
        <v>Carol Singh</v>
      </c>
      <c r="C7" s="33">
        <f>INDEX(M$6:M$12,MATCH(LARGE(P$6:P$12,2),P$6:P$12,0))</f>
        <v>25</v>
      </c>
      <c r="D7" s="33">
        <f>INDEX(N$6:N$12,MATCH(LARGE(P$6:P$12,2),P$6:P$12,0))</f>
        <v>21</v>
      </c>
      <c r="E7" s="33">
        <f>INDEX(O$6:O$12,MATCH(LARGE(P$6:P$12,2),P$6:P$12,0))</f>
        <v>2</v>
      </c>
      <c r="F7" s="34">
        <f>LARGE(P$6:P$12,2)</f>
        <v>84</v>
      </c>
      <c r="G7" s="35" t="str">
        <f>INDEX(Q$6:Q$12,MATCH(LARGE(P$6:P$12,2),P$6:P$12,0))</f>
        <v>🥇 Excellent</v>
      </c>
      <c r="H7" s="1"/>
      <c r="I7" s="1"/>
      <c r="J7" s="1"/>
      <c r="K7" s="1"/>
      <c r="L7" s="1" t="s">
        <v>71</v>
      </c>
      <c r="M7" s="1">
        <f>COUNTIF('Bug Tracker'!F:F,L7)</f>
        <v>23</v>
      </c>
      <c r="N7" s="1">
        <f>COUNTIFS('Bug Tracker'!F:F,L7,'Bug Tracker'!D:D,"Closed")+COUNTIFS('Bug Tracker'!F:F,L7,'Bug Tracker'!D:D,"Fixed")+COUNTIFS('Bug Tracker'!F:F,L7,'Bug Tracker'!D:D,"Verified")</f>
        <v>18</v>
      </c>
      <c r="O7" s="1">
        <f>COUNTIFS('Bug Tracker'!F:F,L7,'Bug Tracker'!C:C,"Critical")</f>
        <v>3</v>
      </c>
      <c r="P7" s="1">
        <f t="shared" si="0"/>
        <v>78.3</v>
      </c>
      <c r="Q7" s="1" t="str">
        <f t="shared" si="1"/>
        <v>🥇 Excellent</v>
      </c>
      <c r="R7" s="1"/>
      <c r="S7" s="1"/>
    </row>
    <row r="8" spans="1:19" ht="21.95" customHeight="1" x14ac:dyDescent="0.25">
      <c r="A8" s="30">
        <v>3</v>
      </c>
      <c r="B8" s="30" t="str">
        <f>INDEX(L$6:L$12,MATCH(LARGE(P$6:P$12,3),P$6:P$12,0))</f>
        <v>Bob Martinez</v>
      </c>
      <c r="C8" s="30">
        <f>INDEX(M$6:M$12,MATCH(LARGE(P$6:P$12,3),P$6:P$12,0))</f>
        <v>23</v>
      </c>
      <c r="D8" s="30">
        <f>INDEX(N$6:N$12,MATCH(LARGE(P$6:P$12,3),P$6:P$12,0))</f>
        <v>18</v>
      </c>
      <c r="E8" s="30">
        <f>INDEX(O$6:O$12,MATCH(LARGE(P$6:P$12,3),P$6:P$12,0))</f>
        <v>3</v>
      </c>
      <c r="F8" s="31">
        <f>LARGE(P$6:P$12,3)</f>
        <v>78.3</v>
      </c>
      <c r="G8" s="32" t="str">
        <f>INDEX(Q$6:Q$12,MATCH(LARGE(P$6:P$12,3),P$6:P$12,0))</f>
        <v>🥇 Excellent</v>
      </c>
      <c r="H8" s="1"/>
      <c r="I8" s="1"/>
      <c r="J8" s="1"/>
      <c r="K8" s="1"/>
      <c r="L8" s="1" t="s">
        <v>107</v>
      </c>
      <c r="M8" s="1">
        <f>COUNTIF('Bug Tracker'!F:F,L8)</f>
        <v>25</v>
      </c>
      <c r="N8" s="1">
        <f>COUNTIFS('Bug Tracker'!F:F,L8,'Bug Tracker'!D:D,"Closed")+COUNTIFS('Bug Tracker'!F:F,L8,'Bug Tracker'!D:D,"Fixed")+COUNTIFS('Bug Tracker'!F:F,L8,'Bug Tracker'!D:D,"Verified")</f>
        <v>21</v>
      </c>
      <c r="O8" s="1">
        <f>COUNTIFS('Bug Tracker'!F:F,L8,'Bug Tracker'!C:C,"Critical")</f>
        <v>2</v>
      </c>
      <c r="P8" s="1">
        <f t="shared" si="0"/>
        <v>84</v>
      </c>
      <c r="Q8" s="1" t="str">
        <f t="shared" si="1"/>
        <v>🥇 Excellent</v>
      </c>
      <c r="R8" s="1"/>
      <c r="S8" s="1"/>
    </row>
    <row r="9" spans="1:19" ht="21.95" customHeight="1" x14ac:dyDescent="0.25">
      <c r="A9" s="33">
        <v>4</v>
      </c>
      <c r="B9" s="33" t="str">
        <f>INDEX(L$6:L$12,MATCH(LARGE(P$6:P$12,4),P$6:P$12,0))</f>
        <v>Grace Patel</v>
      </c>
      <c r="C9" s="33">
        <f>INDEX(M$6:M$12,MATCH(LARGE(P$6:P$12,4),P$6:P$12,0))</f>
        <v>34</v>
      </c>
      <c r="D9" s="33">
        <f>INDEX(N$6:N$12,MATCH(LARGE(P$6:P$12,4),P$6:P$12,0))</f>
        <v>26</v>
      </c>
      <c r="E9" s="33">
        <f>INDEX(O$6:O$12,MATCH(LARGE(P$6:P$12,4),P$6:P$12,0))</f>
        <v>2</v>
      </c>
      <c r="F9" s="34">
        <f>LARGE(P$6:P$12,4)</f>
        <v>76.5</v>
      </c>
      <c r="G9" s="35" t="str">
        <f>INDEX(Q$6:Q$12,MATCH(LARGE(P$6:P$12,4),P$6:P$12,0))</f>
        <v>🥇 Excellent</v>
      </c>
      <c r="H9" s="1"/>
      <c r="I9" s="1"/>
      <c r="J9" s="1"/>
      <c r="K9" s="1"/>
      <c r="L9" s="1" t="s">
        <v>92</v>
      </c>
      <c r="M9" s="1">
        <f>COUNTIF('Bug Tracker'!F:F,L9)</f>
        <v>34</v>
      </c>
      <c r="N9" s="1">
        <f>COUNTIFS('Bug Tracker'!F:F,L9,'Bug Tracker'!D:D,"Closed")+COUNTIFS('Bug Tracker'!F:F,L9,'Bug Tracker'!D:D,"Fixed")+COUNTIFS('Bug Tracker'!F:F,L9,'Bug Tracker'!D:D,"Verified")</f>
        <v>23</v>
      </c>
      <c r="O9" s="1">
        <f>COUNTIFS('Bug Tracker'!F:F,L9,'Bug Tracker'!C:C,"Critical")</f>
        <v>2</v>
      </c>
      <c r="P9" s="1">
        <f t="shared" si="0"/>
        <v>67.599999999999994</v>
      </c>
      <c r="Q9" s="1" t="str">
        <f t="shared" si="1"/>
        <v>🥈 Good</v>
      </c>
      <c r="R9" s="1"/>
      <c r="S9" s="1"/>
    </row>
    <row r="10" spans="1:19" ht="21.95" customHeight="1" x14ac:dyDescent="0.25">
      <c r="A10" s="30">
        <v>5</v>
      </c>
      <c r="B10" s="30" t="str">
        <f>INDEX(L$6:L$12,MATCH(LARGE(P$6:P$12,5),P$6:P$12,0))</f>
        <v>David Kim</v>
      </c>
      <c r="C10" s="30">
        <f>INDEX(M$6:M$12,MATCH(LARGE(P$6:P$12,5),P$6:P$12,0))</f>
        <v>34</v>
      </c>
      <c r="D10" s="30">
        <f>INDEX(N$6:N$12,MATCH(LARGE(P$6:P$12,5),P$6:P$12,0))</f>
        <v>23</v>
      </c>
      <c r="E10" s="30">
        <f>INDEX(O$6:O$12,MATCH(LARGE(P$6:P$12,5),P$6:P$12,0))</f>
        <v>2</v>
      </c>
      <c r="F10" s="31">
        <f>LARGE(P$6:P$12,5)</f>
        <v>67.599999999999994</v>
      </c>
      <c r="G10" s="36" t="str">
        <f>INDEX(Q$6:Q$12,MATCH(LARGE(P$6:P$12,5),P$6:P$12,0))</f>
        <v>🥈 Good</v>
      </c>
      <c r="H10" s="1"/>
      <c r="I10" s="1"/>
      <c r="J10" s="1"/>
      <c r="K10" s="1"/>
      <c r="L10" s="1" t="s">
        <v>96</v>
      </c>
      <c r="M10" s="1">
        <f>COUNTIF('Bug Tracker'!F:F,L10)</f>
        <v>33</v>
      </c>
      <c r="N10" s="1">
        <f>COUNTIFS('Bug Tracker'!F:F,L10,'Bug Tracker'!D:D,"Closed")+COUNTIFS('Bug Tracker'!F:F,L10,'Bug Tracker'!D:D,"Fixed")+COUNTIFS('Bug Tracker'!F:F,L10,'Bug Tracker'!D:D,"Verified")</f>
        <v>19</v>
      </c>
      <c r="O10" s="1">
        <f>COUNTIFS('Bug Tracker'!F:F,L10,'Bug Tracker'!C:C,"Critical")</f>
        <v>4</v>
      </c>
      <c r="P10" s="1">
        <f t="shared" si="0"/>
        <v>57.6</v>
      </c>
      <c r="Q10" s="1" t="str">
        <f t="shared" si="1"/>
        <v>🥉 Average</v>
      </c>
      <c r="R10" s="1"/>
      <c r="S10" s="1"/>
    </row>
    <row r="11" spans="1:19" ht="21.95" customHeight="1" x14ac:dyDescent="0.25">
      <c r="A11" s="33">
        <v>6</v>
      </c>
      <c r="B11" s="33" t="str">
        <f>INDEX(L$6:L$12,MATCH(LARGE(P$6:P$12,6),P$6:P$12,0))</f>
        <v>Alice Chen</v>
      </c>
      <c r="C11" s="33">
        <f>INDEX(M$6:M$12,MATCH(LARGE(P$6:P$12,6),P$6:P$12,0))</f>
        <v>33</v>
      </c>
      <c r="D11" s="33">
        <f>INDEX(N$6:N$12,MATCH(LARGE(P$6:P$12,6),P$6:P$12,0))</f>
        <v>20</v>
      </c>
      <c r="E11" s="33">
        <f>INDEX(O$6:O$12,MATCH(LARGE(P$6:P$12,6),P$6:P$12,0))</f>
        <v>3</v>
      </c>
      <c r="F11" s="34">
        <f>LARGE(P$6:P$12,6)</f>
        <v>60.6</v>
      </c>
      <c r="G11" s="37" t="str">
        <f>INDEX(Q$6:Q$12,MATCH(LARGE(P$6:P$12,6),P$6:P$12,0))</f>
        <v>🥈 Good</v>
      </c>
      <c r="H11" s="1"/>
      <c r="I11" s="1"/>
      <c r="J11" s="1"/>
      <c r="K11" s="1"/>
      <c r="L11" s="1" t="s">
        <v>66</v>
      </c>
      <c r="M11" s="1">
        <f>COUNTIF('Bug Tracker'!F:F,L11)</f>
        <v>18</v>
      </c>
      <c r="N11" s="1">
        <f>COUNTIFS('Bug Tracker'!F:F,L11,'Bug Tracker'!D:D,"Closed")+COUNTIFS('Bug Tracker'!F:F,L11,'Bug Tracker'!D:D,"Fixed")+COUNTIFS('Bug Tracker'!F:F,L11,'Bug Tracker'!D:D,"Verified")</f>
        <v>17</v>
      </c>
      <c r="O11" s="1">
        <f>COUNTIFS('Bug Tracker'!F:F,L11,'Bug Tracker'!C:C,"Critical")</f>
        <v>2</v>
      </c>
      <c r="P11" s="1">
        <f t="shared" si="0"/>
        <v>94.4</v>
      </c>
      <c r="Q11" s="1" t="str">
        <f t="shared" si="1"/>
        <v>🥇 Excellent</v>
      </c>
      <c r="R11" s="1"/>
      <c r="S11" s="1"/>
    </row>
    <row r="12" spans="1:19" ht="21.95" customHeight="1" x14ac:dyDescent="0.25">
      <c r="A12" s="30">
        <v>7</v>
      </c>
      <c r="B12" s="30" t="str">
        <f>INDEX(L$6:L$12,MATCH(LARGE(P$6:P$12,7),P$6:P$12,0))</f>
        <v>Emma Johnson</v>
      </c>
      <c r="C12" s="30">
        <f>INDEX(M$6:M$12,MATCH(LARGE(P$6:P$12,7),P$6:P$12,0))</f>
        <v>33</v>
      </c>
      <c r="D12" s="30">
        <f>INDEX(N$6:N$12,MATCH(LARGE(P$6:P$12,7),P$6:P$12,0))</f>
        <v>19</v>
      </c>
      <c r="E12" s="30">
        <f>INDEX(O$6:O$12,MATCH(LARGE(P$6:P$12,7),P$6:P$12,0))</f>
        <v>4</v>
      </c>
      <c r="F12" s="38">
        <f>LARGE(P$6:P$12,7)</f>
        <v>57.6</v>
      </c>
      <c r="G12" s="39" t="str">
        <f>INDEX(Q$6:Q$12,MATCH(LARGE(P$6:P$12,7),P$6:P$12,0))</f>
        <v>🥉 Average</v>
      </c>
      <c r="H12" s="1"/>
      <c r="I12" s="1"/>
      <c r="J12" s="1"/>
      <c r="K12" s="1"/>
      <c r="L12" s="1" t="s">
        <v>99</v>
      </c>
      <c r="M12" s="1">
        <f>COUNTIF('Bug Tracker'!F:F,L12)</f>
        <v>34</v>
      </c>
      <c r="N12" s="1">
        <f>COUNTIFS('Bug Tracker'!F:F,L12,'Bug Tracker'!D:D,"Closed")+COUNTIFS('Bug Tracker'!F:F,L12,'Bug Tracker'!D:D,"Fixed")+COUNTIFS('Bug Tracker'!F:F,L12,'Bug Tracker'!D:D,"Verified")</f>
        <v>26</v>
      </c>
      <c r="O12" s="1">
        <f>COUNTIFS('Bug Tracker'!F:F,L12,'Bug Tracker'!C:C,"Critical")</f>
        <v>2</v>
      </c>
      <c r="P12" s="1">
        <f t="shared" si="0"/>
        <v>76.5</v>
      </c>
      <c r="Q12" s="1" t="str">
        <f t="shared" si="1"/>
        <v>🥇 Excellent</v>
      </c>
      <c r="R12" s="1"/>
      <c r="S12" s="1"/>
    </row>
    <row r="13" spans="1:19" ht="18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8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8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8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8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8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8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8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8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8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8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8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8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8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8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8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8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8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8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8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8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8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8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8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</sheetData>
  <mergeCells count="2">
    <mergeCell ref="A1:J1"/>
    <mergeCell ref="A3:J3"/>
  </mergeCells>
  <conditionalFormatting sqref="F6:F12">
    <cfRule type="dataBar" priority="1">
      <dataBar>
        <cfvo type="min"/>
        <cfvo type="max"/>
        <color rgb="FF3FB95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29922"/>
  </sheetPr>
  <dimension ref="A1:O29"/>
  <sheetViews>
    <sheetView showGridLines="0" workbookViewId="0">
      <selection sqref="A1:O1"/>
    </sheetView>
  </sheetViews>
  <sheetFormatPr defaultRowHeight="15" x14ac:dyDescent="0.25"/>
  <cols>
    <col min="1" max="1" width="10" customWidth="1"/>
    <col min="2" max="2" width="12" customWidth="1"/>
    <col min="3" max="5" width="10" customWidth="1"/>
    <col min="6" max="7" width="12" customWidth="1"/>
    <col min="8" max="8" width="10" customWidth="1"/>
    <col min="9" max="9" width="8" customWidth="1"/>
    <col min="10" max="10" width="10" customWidth="1"/>
    <col min="11" max="11" width="8" customWidth="1"/>
    <col min="12" max="12" width="12" customWidth="1"/>
    <col min="13" max="13" width="10" customWidth="1"/>
    <col min="14" max="14" width="16" customWidth="1"/>
  </cols>
  <sheetData>
    <row r="1" spans="1:15" ht="38.1" customHeight="1" x14ac:dyDescent="0.25">
      <c r="A1" s="193" t="s">
        <v>469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</row>
    <row r="2" spans="1:15" ht="3.95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20.10000000000000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1.95" customHeight="1" x14ac:dyDescent="0.25">
      <c r="A4" s="41" t="s">
        <v>29</v>
      </c>
      <c r="B4" s="41" t="s">
        <v>446</v>
      </c>
      <c r="C4" s="41" t="s">
        <v>447</v>
      </c>
      <c r="D4" s="41" t="s">
        <v>448</v>
      </c>
      <c r="E4" s="41" t="s">
        <v>449</v>
      </c>
      <c r="F4" s="41" t="s">
        <v>453</v>
      </c>
      <c r="G4" s="41" t="s">
        <v>470</v>
      </c>
      <c r="H4" s="41" t="s">
        <v>37</v>
      </c>
      <c r="I4" s="41" t="s">
        <v>32</v>
      </c>
      <c r="J4" s="41" t="s">
        <v>81</v>
      </c>
      <c r="K4" s="41" t="s">
        <v>111</v>
      </c>
      <c r="L4" s="41" t="s">
        <v>471</v>
      </c>
      <c r="M4" s="41" t="s">
        <v>455</v>
      </c>
      <c r="N4" s="41" t="s">
        <v>472</v>
      </c>
      <c r="O4" s="1"/>
    </row>
    <row r="5" spans="1:15" ht="21.95" customHeight="1" x14ac:dyDescent="0.25">
      <c r="A5" s="33" t="s">
        <v>41</v>
      </c>
      <c r="B5" s="33">
        <f>VLOOKUP(A5,'Test Runs'!A:F,2,FALSE)</f>
        <v>94</v>
      </c>
      <c r="C5" s="33">
        <f>VLOOKUP(A5,'Test Runs'!A:F,3,FALSE)</f>
        <v>71</v>
      </c>
      <c r="D5" s="33">
        <f>VLOOKUP(A5,'Test Runs'!A:F,4,FALSE)</f>
        <v>14</v>
      </c>
      <c r="E5" s="33">
        <f>VLOOKUP(A5,'Test Runs'!A:F,5,FALSE)</f>
        <v>9</v>
      </c>
      <c r="F5" s="34">
        <f>VLOOKUP(A5,'Test Runs'!A:F,6,FALSE)</f>
        <v>75.5</v>
      </c>
      <c r="G5" s="33">
        <f>COUNTIF('Bug Tracker'!G:G,A5)</f>
        <v>29</v>
      </c>
      <c r="H5" s="42">
        <f>COUNTIFS('Bug Tracker'!G:G,A5,'Bug Tracker'!C:C,"Critical")</f>
        <v>1</v>
      </c>
      <c r="I5" s="33">
        <f>COUNTIFS('Bug Tracker'!G:G,A5,'Bug Tracker'!C:C,"High")</f>
        <v>16</v>
      </c>
      <c r="J5" s="33">
        <f>COUNTIFS('Bug Tracker'!G:G,A5,'Bug Tracker'!C:C,"Medium")</f>
        <v>7</v>
      </c>
      <c r="K5" s="33">
        <f>COUNTIFS('Bug Tracker'!G:G,A5,'Bug Tracker'!C:C,"Low")</f>
        <v>5</v>
      </c>
      <c r="L5" s="33">
        <f>COUNTIFS('Bug Tracker'!G:G,A5,'Bug Tracker'!D:D,"Closed")+COUNTIFS('Bug Tracker'!G:G,A5,'Bug Tracker'!D:D,"Fixed")+COUNTIFS('Bug Tracker'!G:G,A5,'Bug Tracker'!D:D,"Verified")</f>
        <v>21</v>
      </c>
      <c r="M5" s="34">
        <f>IF(G5=0,0,ROUND(L5/G5*100,1))</f>
        <v>72.400000000000006</v>
      </c>
      <c r="N5" s="43" t="str">
        <f>IF(AND(F5&gt;=80,M5&gt;=70),"🟢 Healthy",IF(OR(F5&lt;70,M5&lt;50),"🔴 Critical","🟡 At Risk"))</f>
        <v>🟡 At Risk</v>
      </c>
      <c r="O5" s="1"/>
    </row>
    <row r="6" spans="1:15" ht="21.95" customHeight="1" x14ac:dyDescent="0.25">
      <c r="A6" s="30" t="s">
        <v>44</v>
      </c>
      <c r="B6" s="30">
        <f>VLOOKUP(A6,'Test Runs'!A:F,2,FALSE)</f>
        <v>112</v>
      </c>
      <c r="C6" s="30">
        <f>VLOOKUP(A6,'Test Runs'!A:F,3,FALSE)</f>
        <v>95</v>
      </c>
      <c r="D6" s="30">
        <f>VLOOKUP(A6,'Test Runs'!A:F,4,FALSE)</f>
        <v>6</v>
      </c>
      <c r="E6" s="30">
        <f>VLOOKUP(A6,'Test Runs'!A:F,5,FALSE)</f>
        <v>11</v>
      </c>
      <c r="F6" s="31">
        <f>VLOOKUP(A6,'Test Runs'!A:F,6,FALSE)</f>
        <v>84.8</v>
      </c>
      <c r="G6" s="30">
        <f>COUNTIF('Bug Tracker'!G:G,A6)</f>
        <v>26</v>
      </c>
      <c r="H6" s="44">
        <f>COUNTIFS('Bug Tracker'!G:G,A6,'Bug Tracker'!C:C,"Critical")</f>
        <v>2</v>
      </c>
      <c r="I6" s="30">
        <f>COUNTIFS('Bug Tracker'!G:G,A6,'Bug Tracker'!C:C,"High")</f>
        <v>10</v>
      </c>
      <c r="J6" s="30">
        <f>COUNTIFS('Bug Tracker'!G:G,A6,'Bug Tracker'!C:C,"Medium")</f>
        <v>9</v>
      </c>
      <c r="K6" s="30">
        <f>COUNTIFS('Bug Tracker'!G:G,A6,'Bug Tracker'!C:C,"Low")</f>
        <v>5</v>
      </c>
      <c r="L6" s="30">
        <f>COUNTIFS('Bug Tracker'!G:G,A6,'Bug Tracker'!D:D,"Closed")+COUNTIFS('Bug Tracker'!G:G,A6,'Bug Tracker'!D:D,"Fixed")+COUNTIFS('Bug Tracker'!G:G,A6,'Bug Tracker'!D:D,"Verified")</f>
        <v>17</v>
      </c>
      <c r="M6" s="45">
        <f>IF(G6=0,0,ROUND(L6/G6*100,1))</f>
        <v>65.400000000000006</v>
      </c>
      <c r="N6" s="46" t="str">
        <f>IF(AND(F6&gt;=80,M6&gt;=70),"🟢 Healthy",IF(OR(F6&lt;70,M6&lt;50),"🔴 Critical","🟡 At Risk"))</f>
        <v>🟡 At Risk</v>
      </c>
      <c r="O6" s="1"/>
    </row>
    <row r="7" spans="1:15" ht="21.95" customHeight="1" x14ac:dyDescent="0.25">
      <c r="A7" s="33" t="s">
        <v>49</v>
      </c>
      <c r="B7" s="33">
        <f>VLOOKUP(A7,'Test Runs'!A:F,2,FALSE)</f>
        <v>123</v>
      </c>
      <c r="C7" s="33">
        <f>VLOOKUP(A7,'Test Runs'!A:F,3,FALSE)</f>
        <v>106</v>
      </c>
      <c r="D7" s="33">
        <f>VLOOKUP(A7,'Test Runs'!A:F,4,FALSE)</f>
        <v>9</v>
      </c>
      <c r="E7" s="33">
        <f>VLOOKUP(A7,'Test Runs'!A:F,5,FALSE)</f>
        <v>8</v>
      </c>
      <c r="F7" s="34">
        <f>VLOOKUP(A7,'Test Runs'!A:F,6,FALSE)</f>
        <v>86.2</v>
      </c>
      <c r="G7" s="33">
        <f>COUNTIF('Bug Tracker'!G:G,A7)</f>
        <v>18</v>
      </c>
      <c r="H7" s="42">
        <f>COUNTIFS('Bug Tracker'!G:G,A7,'Bug Tracker'!C:C,"Critical")</f>
        <v>3</v>
      </c>
      <c r="I7" s="33">
        <f>COUNTIFS('Bug Tracker'!G:G,A7,'Bug Tracker'!C:C,"High")</f>
        <v>4</v>
      </c>
      <c r="J7" s="33">
        <f>COUNTIFS('Bug Tracker'!G:G,A7,'Bug Tracker'!C:C,"Medium")</f>
        <v>9</v>
      </c>
      <c r="K7" s="33">
        <f>COUNTIFS('Bug Tracker'!G:G,A7,'Bug Tracker'!C:C,"Low")</f>
        <v>2</v>
      </c>
      <c r="L7" s="33">
        <f>COUNTIFS('Bug Tracker'!G:G,A7,'Bug Tracker'!D:D,"Closed")+COUNTIFS('Bug Tracker'!G:G,A7,'Bug Tracker'!D:D,"Fixed")+COUNTIFS('Bug Tracker'!G:G,A7,'Bug Tracker'!D:D,"Verified")</f>
        <v>15</v>
      </c>
      <c r="M7" s="34">
        <f>IF(G7=0,0,ROUND(L7/G7*100,1))</f>
        <v>83.3</v>
      </c>
      <c r="N7" s="43" t="str">
        <f>IF(AND(F7&gt;=80,M7&gt;=70),"🟢 Healthy",IF(OR(F7&lt;70,M7&lt;50),"🔴 Critical","🟡 At Risk"))</f>
        <v>🟢 Healthy</v>
      </c>
      <c r="O7" s="1"/>
    </row>
    <row r="8" spans="1:15" ht="21.95" customHeight="1" x14ac:dyDescent="0.25">
      <c r="A8" s="30" t="s">
        <v>58</v>
      </c>
      <c r="B8" s="30">
        <f>VLOOKUP(A8,'Test Runs'!A:F,2,FALSE)</f>
        <v>104</v>
      </c>
      <c r="C8" s="30">
        <f>VLOOKUP(A8,'Test Runs'!A:F,3,FALSE)</f>
        <v>75</v>
      </c>
      <c r="D8" s="30">
        <f>VLOOKUP(A8,'Test Runs'!A:F,4,FALSE)</f>
        <v>19</v>
      </c>
      <c r="E8" s="30">
        <f>VLOOKUP(A8,'Test Runs'!A:F,5,FALSE)</f>
        <v>10</v>
      </c>
      <c r="F8" s="45">
        <f>VLOOKUP(A8,'Test Runs'!A:F,6,FALSE)</f>
        <v>72.099999999999994</v>
      </c>
      <c r="G8" s="30">
        <f>COUNTIF('Bug Tracker'!G:G,A8)</f>
        <v>20</v>
      </c>
      <c r="H8" s="44">
        <f>COUNTIFS('Bug Tracker'!G:G,A8,'Bug Tracker'!C:C,"Critical")</f>
        <v>1</v>
      </c>
      <c r="I8" s="30">
        <f>COUNTIFS('Bug Tracker'!G:G,A8,'Bug Tracker'!C:C,"High")</f>
        <v>7</v>
      </c>
      <c r="J8" s="30">
        <f>COUNTIFS('Bug Tracker'!G:G,A8,'Bug Tracker'!C:C,"Medium")</f>
        <v>8</v>
      </c>
      <c r="K8" s="30">
        <f>COUNTIFS('Bug Tracker'!G:G,A8,'Bug Tracker'!C:C,"Low")</f>
        <v>4</v>
      </c>
      <c r="L8" s="30">
        <f>COUNTIFS('Bug Tracker'!G:G,A8,'Bug Tracker'!D:D,"Closed")+COUNTIFS('Bug Tracker'!G:G,A8,'Bug Tracker'!D:D,"Fixed")+COUNTIFS('Bug Tracker'!G:G,A8,'Bug Tracker'!D:D,"Verified")</f>
        <v>14</v>
      </c>
      <c r="M8" s="31">
        <f>IF(G8=0,0,ROUND(L8/G8*100,1))</f>
        <v>70</v>
      </c>
      <c r="N8" s="46" t="str">
        <f>IF(AND(F8&gt;=80,M8&gt;=70),"🟢 Healthy",IF(OR(F8&lt;70,M8&lt;50),"🔴 Critical","🟡 At Risk"))</f>
        <v>🟡 At Risk</v>
      </c>
      <c r="O8" s="1"/>
    </row>
    <row r="9" spans="1:15" ht="21.95" customHeight="1" x14ac:dyDescent="0.25">
      <c r="A9" s="33" t="s">
        <v>47</v>
      </c>
      <c r="B9" s="33">
        <f>VLOOKUP(A9,'Test Runs'!A:F,2,FALSE)</f>
        <v>131</v>
      </c>
      <c r="C9" s="33">
        <f>VLOOKUP(A9,'Test Runs'!A:F,3,FALSE)</f>
        <v>115</v>
      </c>
      <c r="D9" s="33">
        <f>VLOOKUP(A9,'Test Runs'!A:F,4,FALSE)</f>
        <v>8</v>
      </c>
      <c r="E9" s="33">
        <f>VLOOKUP(A9,'Test Runs'!A:F,5,FALSE)</f>
        <v>8</v>
      </c>
      <c r="F9" s="34">
        <f>VLOOKUP(A9,'Test Runs'!A:F,6,FALSE)</f>
        <v>87.8</v>
      </c>
      <c r="G9" s="33">
        <f>COUNTIF('Bug Tracker'!G:G,A9)</f>
        <v>27</v>
      </c>
      <c r="H9" s="42">
        <f>COUNTIFS('Bug Tracker'!G:G,A9,'Bug Tracker'!C:C,"Critical")</f>
        <v>1</v>
      </c>
      <c r="I9" s="33">
        <f>COUNTIFS('Bug Tracker'!G:G,A9,'Bug Tracker'!C:C,"High")</f>
        <v>6</v>
      </c>
      <c r="J9" s="33">
        <f>COUNTIFS('Bug Tracker'!G:G,A9,'Bug Tracker'!C:C,"Medium")</f>
        <v>14</v>
      </c>
      <c r="K9" s="33">
        <f>COUNTIFS('Bug Tracker'!G:G,A9,'Bug Tracker'!C:C,"Low")</f>
        <v>6</v>
      </c>
      <c r="L9" s="33">
        <f>COUNTIFS('Bug Tracker'!G:G,A9,'Bug Tracker'!D:D,"Closed")+COUNTIFS('Bug Tracker'!G:G,A9,'Bug Tracker'!D:D,"Fixed")+COUNTIFS('Bug Tracker'!G:G,A9,'Bug Tracker'!D:D,"Verified")</f>
        <v>16</v>
      </c>
      <c r="M9" s="47">
        <f>IF(G9=0,0,ROUND(L9/G9*100,1))</f>
        <v>59.3</v>
      </c>
      <c r="N9" s="43" t="str">
        <f>IF(AND(F9&gt;=80,M9&gt;=70),"🟢 Healthy",IF(OR(F9&lt;70,M9&lt;50),"🔴 Critical","🟡 At Risk"))</f>
        <v>🟡 At Risk</v>
      </c>
      <c r="O9" s="1"/>
    </row>
    <row r="10" spans="1:15" ht="21.95" customHeight="1" x14ac:dyDescent="0.25">
      <c r="A10" s="30" t="s">
        <v>93</v>
      </c>
      <c r="B10" s="30">
        <f>VLOOKUP(A10,'Test Runs'!A:F,2,FALSE)</f>
        <v>91</v>
      </c>
      <c r="C10" s="30">
        <f>VLOOKUP(A10,'Test Runs'!A:F,3,FALSE)</f>
        <v>70</v>
      </c>
      <c r="D10" s="30">
        <f>VLOOKUP(A10,'Test Runs'!A:F,4,FALSE)</f>
        <v>9</v>
      </c>
      <c r="E10" s="30">
        <f>VLOOKUP(A10,'Test Runs'!A:F,5,FALSE)</f>
        <v>12</v>
      </c>
      <c r="F10" s="31">
        <f>VLOOKUP(A10,'Test Runs'!A:F,6,FALSE)</f>
        <v>76.900000000000006</v>
      </c>
      <c r="G10" s="30">
        <f>COUNTIF('Bug Tracker'!G:G,A10)</f>
        <v>26</v>
      </c>
      <c r="H10" s="44">
        <f>COUNTIFS('Bug Tracker'!G:G,A10,'Bug Tracker'!C:C,"Critical")</f>
        <v>3</v>
      </c>
      <c r="I10" s="30">
        <f>COUNTIFS('Bug Tracker'!G:G,A10,'Bug Tracker'!C:C,"High")</f>
        <v>6</v>
      </c>
      <c r="J10" s="30">
        <f>COUNTIFS('Bug Tracker'!G:G,A10,'Bug Tracker'!C:C,"Medium")</f>
        <v>14</v>
      </c>
      <c r="K10" s="30">
        <f>COUNTIFS('Bug Tracker'!G:G,A10,'Bug Tracker'!C:C,"Low")</f>
        <v>3</v>
      </c>
      <c r="L10" s="30">
        <f>COUNTIFS('Bug Tracker'!G:G,A10,'Bug Tracker'!D:D,"Closed")+COUNTIFS('Bug Tracker'!G:G,A10,'Bug Tracker'!D:D,"Fixed")+COUNTIFS('Bug Tracker'!G:G,A10,'Bug Tracker'!D:D,"Verified")</f>
        <v>18</v>
      </c>
      <c r="M10" s="45">
        <f>IF(G10=0,0,ROUND(L10/G10*100,1))</f>
        <v>69.2</v>
      </c>
      <c r="N10" s="46" t="str">
        <f>IF(AND(F10&gt;=80,M10&gt;=70),"🟢 Healthy",IF(OR(F10&lt;70,M10&lt;50),"🔴 Critical","🟡 At Risk"))</f>
        <v>🟡 At Risk</v>
      </c>
      <c r="O10" s="1"/>
    </row>
    <row r="11" spans="1:15" ht="21.95" customHeight="1" x14ac:dyDescent="0.25">
      <c r="A11" s="33" t="s">
        <v>35</v>
      </c>
      <c r="B11" s="33">
        <f>VLOOKUP(A11,'Test Runs'!A:F,2,FALSE)</f>
        <v>97</v>
      </c>
      <c r="C11" s="33">
        <f>VLOOKUP(A11,'Test Runs'!A:F,3,FALSE)</f>
        <v>77</v>
      </c>
      <c r="D11" s="33">
        <f>VLOOKUP(A11,'Test Runs'!A:F,4,FALSE)</f>
        <v>13</v>
      </c>
      <c r="E11" s="33">
        <f>VLOOKUP(A11,'Test Runs'!A:F,5,FALSE)</f>
        <v>7</v>
      </c>
      <c r="F11" s="34">
        <f>VLOOKUP(A11,'Test Runs'!A:F,6,FALSE)</f>
        <v>79.400000000000006</v>
      </c>
      <c r="G11" s="33">
        <f>COUNTIF('Bug Tracker'!G:G,A11)</f>
        <v>28</v>
      </c>
      <c r="H11" s="42">
        <f>COUNTIFS('Bug Tracker'!G:G,A11,'Bug Tracker'!C:C,"Critical")</f>
        <v>4</v>
      </c>
      <c r="I11" s="33">
        <f>COUNTIFS('Bug Tracker'!G:G,A11,'Bug Tracker'!C:C,"High")</f>
        <v>5</v>
      </c>
      <c r="J11" s="33">
        <f>COUNTIFS('Bug Tracker'!G:G,A11,'Bug Tracker'!C:C,"Medium")</f>
        <v>13</v>
      </c>
      <c r="K11" s="33">
        <f>COUNTIFS('Bug Tracker'!G:G,A11,'Bug Tracker'!C:C,"Low")</f>
        <v>6</v>
      </c>
      <c r="L11" s="33">
        <f>COUNTIFS('Bug Tracker'!G:G,A11,'Bug Tracker'!D:D,"Closed")+COUNTIFS('Bug Tracker'!G:G,A11,'Bug Tracker'!D:D,"Fixed")+COUNTIFS('Bug Tracker'!G:G,A11,'Bug Tracker'!D:D,"Verified")</f>
        <v>21</v>
      </c>
      <c r="M11" s="34">
        <f>IF(G11=0,0,ROUND(L11/G11*100,1))</f>
        <v>75</v>
      </c>
      <c r="N11" s="43" t="str">
        <f>IF(AND(F11&gt;=80,M11&gt;=70),"🟢 Healthy",IF(OR(F11&lt;70,M11&lt;50),"🔴 Critical","🟡 At Risk"))</f>
        <v>🟡 At Risk</v>
      </c>
      <c r="O11" s="1"/>
    </row>
    <row r="12" spans="1:15" ht="21.95" customHeight="1" x14ac:dyDescent="0.25">
      <c r="A12" s="30" t="s">
        <v>54</v>
      </c>
      <c r="B12" s="30">
        <f>VLOOKUP(A12,'Test Runs'!A:F,2,FALSE)</f>
        <v>80</v>
      </c>
      <c r="C12" s="30">
        <f>VLOOKUP(A12,'Test Runs'!A:F,3,FALSE)</f>
        <v>59</v>
      </c>
      <c r="D12" s="30">
        <f>VLOOKUP(A12,'Test Runs'!A:F,4,FALSE)</f>
        <v>9</v>
      </c>
      <c r="E12" s="30">
        <f>VLOOKUP(A12,'Test Runs'!A:F,5,FALSE)</f>
        <v>12</v>
      </c>
      <c r="F12" s="45">
        <f>VLOOKUP(A12,'Test Runs'!A:F,6,FALSE)</f>
        <v>73.8</v>
      </c>
      <c r="G12" s="30">
        <f>COUNTIF('Bug Tracker'!G:G,A12)</f>
        <v>26</v>
      </c>
      <c r="H12" s="44">
        <f>COUNTIFS('Bug Tracker'!G:G,A12,'Bug Tracker'!C:C,"Critical")</f>
        <v>3</v>
      </c>
      <c r="I12" s="30">
        <f>COUNTIFS('Bug Tracker'!G:G,A12,'Bug Tracker'!C:C,"High")</f>
        <v>6</v>
      </c>
      <c r="J12" s="30">
        <f>COUNTIFS('Bug Tracker'!G:G,A12,'Bug Tracker'!C:C,"Medium")</f>
        <v>13</v>
      </c>
      <c r="K12" s="30">
        <f>COUNTIFS('Bug Tracker'!G:G,A12,'Bug Tracker'!C:C,"Low")</f>
        <v>4</v>
      </c>
      <c r="L12" s="30">
        <f>COUNTIFS('Bug Tracker'!G:G,A12,'Bug Tracker'!D:D,"Closed")+COUNTIFS('Bug Tracker'!G:G,A12,'Bug Tracker'!D:D,"Fixed")+COUNTIFS('Bug Tracker'!G:G,A12,'Bug Tracker'!D:D,"Verified")</f>
        <v>22</v>
      </c>
      <c r="M12" s="31">
        <f>IF(G12=0,0,ROUND(L12/G12*100,1))</f>
        <v>84.6</v>
      </c>
      <c r="N12" s="46" t="str">
        <f>IF(AND(F12&gt;=80,M12&gt;=70),"🟢 Healthy",IF(OR(F12&lt;70,M12&lt;50),"🔴 Critical","🟡 At Risk"))</f>
        <v>🟡 At Risk</v>
      </c>
      <c r="O12" s="1"/>
    </row>
    <row r="13" spans="1:15" ht="20.10000000000000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0.100000000000001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0.100000000000001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0.100000000000001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0.100000000000001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0.100000000000001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0.100000000000001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0.10000000000000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0.100000000000001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0.100000000000001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0.100000000000001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0.100000000000001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0.100000000000001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0.100000000000001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0.100000000000001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0.100000000000001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0.100000000000001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</sheetData>
  <mergeCells count="1">
    <mergeCell ref="A1:O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🎯 QA Dashboard</vt:lpstr>
      <vt:lpstr>Bug Tracker</vt:lpstr>
      <vt:lpstr>Test Runs</vt:lpstr>
      <vt:lpstr>Chart Data</vt:lpstr>
      <vt:lpstr>🏆 Tester Scorecard</vt:lpstr>
      <vt:lpstr>📅 Sprint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Vishvambruth Javagal</cp:lastModifiedBy>
  <dcterms:created xsi:type="dcterms:W3CDTF">2026-05-22T14:12:41Z</dcterms:created>
  <dcterms:modified xsi:type="dcterms:W3CDTF">2026-05-22T20:18:18Z</dcterms:modified>
</cp:coreProperties>
</file>